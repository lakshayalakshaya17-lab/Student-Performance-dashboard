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9EA7325A-89A0-49FC-81E0-7DD87507DADF}" xr6:coauthVersionLast="47" xr6:coauthVersionMax="47" xr10:uidLastSave="{00000000-0000-0000-0000-000000000000}"/>
  <bookViews>
    <workbookView xWindow="-120" yWindow="-120" windowWidth="20730" windowHeight="11160" xr2:uid="{5A900FAF-778B-4671-A435-824F3BF982DB}"/>
  </bookViews>
  <sheets>
    <sheet name="Sheet1" sheetId="1" r:id="rId1"/>
    <sheet name="DASHBOAR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2" i="2" l="1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11" i="2"/>
  <c r="B61" i="2"/>
  <c r="B51" i="2"/>
  <c r="B52" i="2"/>
  <c r="B53" i="2"/>
  <c r="B54" i="2"/>
  <c r="B55" i="2"/>
  <c r="B56" i="2"/>
  <c r="B57" i="2"/>
  <c r="B58" i="2"/>
  <c r="B59" i="2"/>
  <c r="B60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12" i="2"/>
  <c r="B13" i="2"/>
  <c r="B14" i="2"/>
  <c r="B15" i="2"/>
  <c r="B16" i="2"/>
  <c r="B17" i="2"/>
  <c r="B18" i="2"/>
  <c r="B19" i="2"/>
  <c r="B11" i="2"/>
  <c r="H5" i="2"/>
  <c r="F5" i="2"/>
  <c r="D5" i="2"/>
  <c r="B5" i="2"/>
  <c r="T4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2" i="1"/>
  <c r="B59" i="1"/>
  <c r="B58" i="1"/>
  <c r="B57" i="1"/>
  <c r="B56" i="1"/>
  <c r="B55" i="1"/>
  <c r="B54" i="1"/>
  <c r="H5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2" i="1"/>
  <c r="J4" i="1"/>
  <c r="J6" i="1"/>
  <c r="J8" i="1"/>
  <c r="J10" i="1"/>
  <c r="J12" i="1"/>
  <c r="J14" i="1"/>
  <c r="J16" i="1"/>
  <c r="J18" i="1"/>
  <c r="J20" i="1"/>
  <c r="J22" i="1"/>
  <c r="J24" i="1"/>
  <c r="J26" i="1"/>
  <c r="J28" i="1"/>
  <c r="J30" i="1"/>
  <c r="J32" i="1"/>
  <c r="J34" i="1"/>
  <c r="J36" i="1"/>
  <c r="J38" i="1"/>
  <c r="J40" i="1"/>
  <c r="J42" i="1"/>
  <c r="J44" i="1"/>
  <c r="J46" i="1"/>
  <c r="J48" i="1"/>
  <c r="J50" i="1"/>
  <c r="J52" i="1"/>
  <c r="I3" i="1"/>
  <c r="J3" i="1" s="1"/>
  <c r="I4" i="1"/>
  <c r="I5" i="1"/>
  <c r="J5" i="1" s="1"/>
  <c r="I6" i="1"/>
  <c r="I7" i="1"/>
  <c r="J7" i="1" s="1"/>
  <c r="I8" i="1"/>
  <c r="I9" i="1"/>
  <c r="J9" i="1" s="1"/>
  <c r="I10" i="1"/>
  <c r="I11" i="1"/>
  <c r="J11" i="1" s="1"/>
  <c r="I12" i="1"/>
  <c r="I13" i="1"/>
  <c r="J13" i="1" s="1"/>
  <c r="I14" i="1"/>
  <c r="I15" i="1"/>
  <c r="J15" i="1" s="1"/>
  <c r="I16" i="1"/>
  <c r="I17" i="1"/>
  <c r="J17" i="1" s="1"/>
  <c r="I18" i="1"/>
  <c r="I19" i="1"/>
  <c r="J19" i="1" s="1"/>
  <c r="I20" i="1"/>
  <c r="I21" i="1"/>
  <c r="J21" i="1" s="1"/>
  <c r="I22" i="1"/>
  <c r="I23" i="1"/>
  <c r="J23" i="1" s="1"/>
  <c r="I24" i="1"/>
  <c r="I25" i="1"/>
  <c r="J25" i="1" s="1"/>
  <c r="I26" i="1"/>
  <c r="I27" i="1"/>
  <c r="J27" i="1" s="1"/>
  <c r="I28" i="1"/>
  <c r="I29" i="1"/>
  <c r="J29" i="1" s="1"/>
  <c r="I30" i="1"/>
  <c r="I31" i="1"/>
  <c r="J31" i="1" s="1"/>
  <c r="I32" i="1"/>
  <c r="I33" i="1"/>
  <c r="J33" i="1" s="1"/>
  <c r="I34" i="1"/>
  <c r="I35" i="1"/>
  <c r="J35" i="1" s="1"/>
  <c r="I36" i="1"/>
  <c r="I37" i="1"/>
  <c r="J37" i="1" s="1"/>
  <c r="I38" i="1"/>
  <c r="I39" i="1"/>
  <c r="J39" i="1" s="1"/>
  <c r="I40" i="1"/>
  <c r="I41" i="1"/>
  <c r="J41" i="1" s="1"/>
  <c r="I42" i="1"/>
  <c r="I43" i="1"/>
  <c r="J43" i="1" s="1"/>
  <c r="I44" i="1"/>
  <c r="I45" i="1"/>
  <c r="J45" i="1" s="1"/>
  <c r="I46" i="1"/>
  <c r="I47" i="1"/>
  <c r="J47" i="1" s="1"/>
  <c r="I48" i="1"/>
  <c r="I49" i="1"/>
  <c r="J49" i="1" s="1"/>
  <c r="I50" i="1"/>
  <c r="I51" i="1"/>
  <c r="J51" i="1" s="1"/>
  <c r="I52" i="1"/>
  <c r="I2" i="1"/>
  <c r="J2" i="1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2" i="1"/>
  <c r="B62" i="1" l="1"/>
  <c r="B67" i="1"/>
  <c r="B63" i="1"/>
  <c r="B66" i="1"/>
  <c r="B64" i="1"/>
  <c r="B65" i="1"/>
</calcChain>
</file>

<file path=xl/sharedStrings.xml><?xml version="1.0" encoding="utf-8"?>
<sst xmlns="http://schemas.openxmlformats.org/spreadsheetml/2006/main" count="94" uniqueCount="90">
  <si>
    <t>STUDENT NAME</t>
  </si>
  <si>
    <t>TAMIL</t>
  </si>
  <si>
    <t>ENGLISH</t>
  </si>
  <si>
    <t>MATHS</t>
  </si>
  <si>
    <t>PHYSICS</t>
  </si>
  <si>
    <t>CHEMISTRY</t>
  </si>
  <si>
    <t>BIOLOGY</t>
  </si>
  <si>
    <t>TOTAL</t>
  </si>
  <si>
    <t>AVERAGE</t>
  </si>
  <si>
    <t>GRADE</t>
  </si>
  <si>
    <t>PASS/FAIL</t>
  </si>
  <si>
    <t>Aarav</t>
  </si>
  <si>
    <t>Ananya</t>
  </si>
  <si>
    <t>Arjun</t>
  </si>
  <si>
    <t>Aishwarya</t>
  </si>
  <si>
    <t>Bharath</t>
  </si>
  <si>
    <t>Deepak</t>
  </si>
  <si>
    <t>Divya</t>
  </si>
  <si>
    <t>Dinesh</t>
  </si>
  <si>
    <t>Harish</t>
  </si>
  <si>
    <t>Harini</t>
  </si>
  <si>
    <t>Gokul</t>
  </si>
  <si>
    <t>Gayathri</t>
  </si>
  <si>
    <t>Karthik</t>
  </si>
  <si>
    <t>Kavya</t>
  </si>
  <si>
    <t>Lokesh</t>
  </si>
  <si>
    <t>Meena</t>
  </si>
  <si>
    <t>Manoj</t>
  </si>
  <si>
    <t>Nandhini</t>
  </si>
  <si>
    <t>Naveen</t>
  </si>
  <si>
    <t>Priya</t>
  </si>
  <si>
    <t>Prakash</t>
  </si>
  <si>
    <t>Rahul</t>
  </si>
  <si>
    <t>Riya</t>
  </si>
  <si>
    <t>Rohit</t>
  </si>
  <si>
    <t>Sahana</t>
  </si>
  <si>
    <t>Sanjay</t>
  </si>
  <si>
    <t>Shruthi</t>
  </si>
  <si>
    <t>Siva</t>
  </si>
  <si>
    <t>Swathi</t>
  </si>
  <si>
    <t>Tarun</t>
  </si>
  <si>
    <t>Vaishnavi</t>
  </si>
  <si>
    <t>Vignesh</t>
  </si>
  <si>
    <t>Vishal</t>
  </si>
  <si>
    <t>Yamini</t>
  </si>
  <si>
    <t>Abinaya</t>
  </si>
  <si>
    <t>Aditya</t>
  </si>
  <si>
    <t>Akash</t>
  </si>
  <si>
    <t>Amritha</t>
  </si>
  <si>
    <t>Ashwin</t>
  </si>
  <si>
    <t>Bhavya</t>
  </si>
  <si>
    <t>Charan</t>
  </si>
  <si>
    <t>Dharani</t>
  </si>
  <si>
    <t>Jeeva</t>
  </si>
  <si>
    <t>Keerthana</t>
  </si>
  <si>
    <t>Monisha</t>
  </si>
  <si>
    <t>Nithin</t>
  </si>
  <si>
    <t>Pooja</t>
  </si>
  <si>
    <t>Ramesh</t>
  </si>
  <si>
    <t>Sneha</t>
  </si>
  <si>
    <t>Surya</t>
  </si>
  <si>
    <t>Tharun</t>
  </si>
  <si>
    <t>Highest total</t>
  </si>
  <si>
    <t>lowest total</t>
  </si>
  <si>
    <t>no of A+</t>
  </si>
  <si>
    <t>avg of bio</t>
  </si>
  <si>
    <t>avg of chem</t>
  </si>
  <si>
    <t>avg of phy</t>
  </si>
  <si>
    <t>avg of mat</t>
  </si>
  <si>
    <t>avg of eng</t>
  </si>
  <si>
    <t>avg of tam</t>
  </si>
  <si>
    <t>Grade</t>
  </si>
  <si>
    <t>A+</t>
  </si>
  <si>
    <t>A</t>
  </si>
  <si>
    <t>B</t>
  </si>
  <si>
    <t>C</t>
  </si>
  <si>
    <t>D</t>
  </si>
  <si>
    <t>F</t>
  </si>
  <si>
    <t>COUNT</t>
  </si>
  <si>
    <t>RANK</t>
  </si>
  <si>
    <t>total students</t>
  </si>
  <si>
    <t>total average</t>
  </si>
  <si>
    <t xml:space="preserve"> </t>
  </si>
  <si>
    <t>STUDENT PERFORMANCE DASHBOARD</t>
  </si>
  <si>
    <t>TOTAL STUDENTS</t>
  </si>
  <si>
    <t>AVERAGE MARK</t>
  </si>
  <si>
    <t>PASS PERCENTAGE</t>
  </si>
  <si>
    <t>HIGHEST MARK</t>
  </si>
  <si>
    <t>STUDENT PERFORMANCE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</si>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</sst>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horizontal="center" vertical="center"/>
    </xf>
    <xf numFmtId="9" fontId="1" fillId="0" borderId="1" xfId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0" fillId="0" borderId="1" xfId="0" applyNumberFormat="1" applyFont="1" applyBorder="1" applyAlignment="1">
      <alignment horizontal="center" vertical="center"/>
    </xf>
    <xf numFmtId="0" fontId="2" fillId="0" borderId="1" xfId="0" applyFont="1" applyBorder="1"/>
    <xf numFmtId="0" fontId="0" fillId="0" borderId="1" xfId="0" applyBorder="1"/>
    <xf numFmtId="2" fontId="0" fillId="0" borderId="1" xfId="0" applyNumberFormat="1" applyBorder="1"/>
  </cellXfs>
  <cellStyles count="2">
    <cellStyle name="Normal" xfId="0" builtinId="0"/>
    <cellStyle name="Percent" xfId="1" builtinId="5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SUBJECT-WISE</a:t>
            </a:r>
            <a:r>
              <a:rPr lang="en-US" baseline="0"/>
              <a:t> AVERAGE MARKS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Sheet1!$A$54:$A$59</c:f>
              <c:strCache>
                <c:ptCount val="6"/>
                <c:pt idx="0">
                  <c:v>avg of tam</c:v>
                </c:pt>
                <c:pt idx="1">
                  <c:v>avg of eng</c:v>
                </c:pt>
                <c:pt idx="2">
                  <c:v>avg of mat</c:v>
                </c:pt>
                <c:pt idx="3">
                  <c:v>avg of phy</c:v>
                </c:pt>
                <c:pt idx="4">
                  <c:v>avg of chem</c:v>
                </c:pt>
                <c:pt idx="5">
                  <c:v>avg of bio</c:v>
                </c:pt>
              </c:strCache>
            </c:strRef>
          </c:cat>
          <c:val>
            <c:numRef>
              <c:f>Sheet1!$B$54:$B$59</c:f>
              <c:numCache>
                <c:formatCode>General</c:formatCode>
                <c:ptCount val="6"/>
                <c:pt idx="0">
                  <c:v>81.529411764705884</c:v>
                </c:pt>
                <c:pt idx="1">
                  <c:v>80.588235294117652</c:v>
                </c:pt>
                <c:pt idx="2">
                  <c:v>83</c:v>
                </c:pt>
                <c:pt idx="3">
                  <c:v>81.960784313725483</c:v>
                </c:pt>
                <c:pt idx="4">
                  <c:v>82.137254901960787</c:v>
                </c:pt>
                <c:pt idx="5">
                  <c:v>85.549019607843135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27-4A2C-A06E-F7E505E037F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23268592"/>
        <c:axId val="423264328"/>
      </c:barChart>
      <c:catAx>
        <c:axId val="42326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264328"/>
        <c:crosses val="autoZero"/>
        <c:auto val="1"/>
        <c:lblAlgn val="ctr"/>
        <c:lblOffset val="100"/>
        <c:noMultiLvlLbl val="0"/>
      </c:catAx>
      <c:valAx>
        <c:axId val="423264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268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2060"/>
                </a:solidFill>
              </a:rPr>
              <a:t>GRADE</a:t>
            </a:r>
            <a:r>
              <a:rPr lang="en-US" b="1" baseline="0">
                <a:solidFill>
                  <a:srgbClr val="002060"/>
                </a:solidFill>
              </a:rPr>
              <a:t> DISTRIBUTION</a:t>
            </a:r>
            <a:endParaRPr lang="en-US" b="1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Sheet1!$B$61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9FC-4674-99FF-2563C21C4B7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9FC-4674-99FF-2563C21C4B7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9FC-4674-99FF-2563C21C4B7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9FC-4674-99FF-2563C21C4B7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9FC-4674-99FF-2563C21C4B7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9FC-4674-99FF-2563C21C4B7C}"/>
              </c:ext>
            </c:extLst>
          </c:dPt>
          <c:cat>
            <c:strRef>
              <c:f>Sheet1!$A$62:$A$67</c:f>
              <c:strCache>
                <c:ptCount val="6"/>
                <c:pt idx="0">
                  <c:v>A+</c:v>
                </c:pt>
                <c:pt idx="1">
                  <c:v>A</c:v>
                </c:pt>
                <c:pt idx="2">
                  <c:v>B</c:v>
                </c:pt>
                <c:pt idx="3">
                  <c:v>C</c:v>
                </c:pt>
                <c:pt idx="4">
                  <c:v>D</c:v>
                </c:pt>
                <c:pt idx="5">
                  <c:v>F</c:v>
                </c:pt>
              </c:strCache>
            </c:strRef>
          </c:cat>
          <c:val>
            <c:numRef>
              <c:f>Sheet1!$B$62:$B$67</c:f>
              <c:numCache>
                <c:formatCode>General</c:formatCode>
                <c:ptCount val="6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12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9FC-4674-99FF-2563C21C4B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9</xdr:row>
      <xdr:rowOff>9526</xdr:rowOff>
    </xdr:from>
    <xdr:to>
      <xdr:col>18</xdr:col>
      <xdr:colOff>80963</xdr:colOff>
      <xdr:row>22</xdr:row>
      <xdr:rowOff>161926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6316D7-0024-4501-AF1B-C16B2561C4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171450</xdr:colOff>
      <xdr:row>23</xdr:row>
      <xdr:rowOff>152401</xdr:rowOff>
    </xdr:from>
    <xdr:to>
      <xdr:col>19</xdr:col>
      <xdr:colOff>9525</xdr:colOff>
      <xdr:row>35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B2A890B-948E-4AF0-846D-AA58808D40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0BA92-F5E2-4080-8D60-199D9C856FD2}">
  <dimension ref="A1:T67"/>
  <sheetViews>
    <sheetView tabSelected="1" workbookViewId="0">
      <selection activeCell="T1" sqref="T1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79</v>
      </c>
      <c r="S1" t="s">
        <v>80</v>
      </c>
      <c r="T1">
        <v>50</v>
      </c>
    </row>
    <row r="2" spans="1:20" x14ac:dyDescent="0.25">
      <c r="A2" t="s">
        <v>11</v>
      </c>
      <c r="B2" s="1">
        <v>86</v>
      </c>
      <c r="C2" s="1">
        <v>78</v>
      </c>
      <c r="D2" s="1">
        <v>92</v>
      </c>
      <c r="E2" s="1">
        <v>81</v>
      </c>
      <c r="F2" s="1">
        <v>88</v>
      </c>
      <c r="G2" s="1">
        <v>90</v>
      </c>
      <c r="H2">
        <f>SUM(B2:G2)</f>
        <v>515</v>
      </c>
      <c r="I2">
        <f>AVERAGE(B2:G2)</f>
        <v>85.833333333333329</v>
      </c>
      <c r="J2" t="str">
        <f>IF(I2&gt;=90,"A+",IF(I2&gt;=80,"A",IF(I2&gt;=70,"B",IF(I2&gt;=60,"C",IF(I2&gt;=50,"D","F")))))</f>
        <v>A</v>
      </c>
      <c r="K2" t="str">
        <f>IF(MIN(B2:G2)&gt;=35,"PASS","FAIL")</f>
        <v>PASS</v>
      </c>
      <c r="L2">
        <f>RANK(H2,$H$2:$H$52,0)</f>
        <v>22</v>
      </c>
      <c r="S2" t="s">
        <v>62</v>
      </c>
      <c r="T2">
        <v>572</v>
      </c>
    </row>
    <row r="3" spans="1:20" x14ac:dyDescent="0.25">
      <c r="A3" s="2" t="s">
        <v>12</v>
      </c>
      <c r="B3" s="1">
        <v>91</v>
      </c>
      <c r="C3" s="1">
        <v>85</v>
      </c>
      <c r="D3" s="1">
        <v>76</v>
      </c>
      <c r="E3" s="1">
        <v>89</v>
      </c>
      <c r="F3" s="1">
        <v>84</v>
      </c>
      <c r="G3" s="1">
        <v>93</v>
      </c>
      <c r="H3">
        <f t="shared" ref="H3:H52" si="0">SUM(B3:G3)</f>
        <v>518</v>
      </c>
      <c r="I3">
        <f t="shared" ref="I3:I52" si="1">AVERAGE(B3:G3)</f>
        <v>86.333333333333329</v>
      </c>
      <c r="J3" t="str">
        <f t="shared" ref="J3:J52" si="2">IF(I3&gt;=90,"A+",IF(I3&gt;=80,"A",IF(I3&gt;=70,"B",IF(I3&gt;=60,"C",IF(I3&gt;=50,"D","F")))))</f>
        <v>A</v>
      </c>
      <c r="K3" t="str">
        <f t="shared" ref="K3:K52" si="3">IF(MIN(B3:G3)&gt;=35,"PASS","FAIL")</f>
        <v>PASS</v>
      </c>
      <c r="L3">
        <f t="shared" ref="L3:L52" si="4">RANK(H3,$H$2:$H$52,0)</f>
        <v>20</v>
      </c>
      <c r="S3" t="s">
        <v>63</v>
      </c>
      <c r="T3">
        <v>415</v>
      </c>
    </row>
    <row r="4" spans="1:20" x14ac:dyDescent="0.25">
      <c r="A4" s="2" t="s">
        <v>13</v>
      </c>
      <c r="B4" s="1">
        <v>74</v>
      </c>
      <c r="C4" s="1">
        <v>69</v>
      </c>
      <c r="D4" s="1">
        <v>88</v>
      </c>
      <c r="E4" s="1">
        <v>72</v>
      </c>
      <c r="F4" s="1">
        <v>79</v>
      </c>
      <c r="G4" s="1">
        <v>81</v>
      </c>
      <c r="H4">
        <f t="shared" si="0"/>
        <v>463</v>
      </c>
      <c r="I4">
        <f t="shared" si="1"/>
        <v>77.166666666666671</v>
      </c>
      <c r="J4" t="str">
        <f t="shared" si="2"/>
        <v>B</v>
      </c>
      <c r="K4" t="str">
        <f t="shared" si="3"/>
        <v>PASS</v>
      </c>
      <c r="L4">
        <f t="shared" si="4"/>
        <v>36</v>
      </c>
      <c r="S4" t="s">
        <v>81</v>
      </c>
      <c r="T4">
        <f>AVERAGE(I2:I52)</f>
        <v>82.460784313725469</v>
      </c>
    </row>
    <row r="5" spans="1:20" ht="30" x14ac:dyDescent="0.25">
      <c r="A5" s="2" t="s">
        <v>14</v>
      </c>
      <c r="B5" s="1">
        <v>95</v>
      </c>
      <c r="C5" s="1">
        <v>91</v>
      </c>
      <c r="D5" s="1">
        <v>89</v>
      </c>
      <c r="E5" s="1">
        <v>94</v>
      </c>
      <c r="F5" s="1">
        <v>92</v>
      </c>
      <c r="G5" s="1">
        <v>96</v>
      </c>
      <c r="H5">
        <f t="shared" si="0"/>
        <v>557</v>
      </c>
      <c r="I5">
        <f t="shared" si="1"/>
        <v>92.833333333333329</v>
      </c>
      <c r="J5" t="str">
        <f t="shared" si="2"/>
        <v>A+</v>
      </c>
      <c r="K5" t="str">
        <f t="shared" si="3"/>
        <v>PASS</v>
      </c>
      <c r="L5">
        <f t="shared" si="4"/>
        <v>4</v>
      </c>
      <c r="S5" t="s">
        <v>64</v>
      </c>
      <c r="T5">
        <v>13</v>
      </c>
    </row>
    <row r="6" spans="1:20" x14ac:dyDescent="0.25">
      <c r="A6" s="2" t="s">
        <v>15</v>
      </c>
      <c r="B6" s="1">
        <v>68</v>
      </c>
      <c r="C6" s="1">
        <v>73</v>
      </c>
      <c r="D6" s="1">
        <v>65</v>
      </c>
      <c r="E6" s="1">
        <v>71</v>
      </c>
      <c r="F6" s="1">
        <v>69</v>
      </c>
      <c r="G6" s="1">
        <v>76</v>
      </c>
      <c r="H6">
        <f t="shared" si="0"/>
        <v>422</v>
      </c>
      <c r="I6">
        <f t="shared" si="1"/>
        <v>70.333333333333329</v>
      </c>
      <c r="J6" t="str">
        <f t="shared" si="2"/>
        <v>B</v>
      </c>
      <c r="K6" t="str">
        <f t="shared" si="3"/>
        <v>PASS</v>
      </c>
      <c r="L6">
        <f t="shared" si="4"/>
        <v>48</v>
      </c>
    </row>
    <row r="7" spans="1:20" x14ac:dyDescent="0.25">
      <c r="A7" s="2" t="s">
        <v>16</v>
      </c>
      <c r="B7" s="1">
        <v>82</v>
      </c>
      <c r="C7" s="1">
        <v>77</v>
      </c>
      <c r="D7" s="1">
        <v>91</v>
      </c>
      <c r="E7" s="1">
        <v>85</v>
      </c>
      <c r="F7" s="1">
        <v>80</v>
      </c>
      <c r="G7" s="1">
        <v>88</v>
      </c>
      <c r="H7">
        <f t="shared" si="0"/>
        <v>503</v>
      </c>
      <c r="I7">
        <f t="shared" si="1"/>
        <v>83.833333333333329</v>
      </c>
      <c r="J7" t="str">
        <f t="shared" si="2"/>
        <v>A</v>
      </c>
      <c r="K7" t="str">
        <f t="shared" si="3"/>
        <v>PASS</v>
      </c>
      <c r="L7">
        <f t="shared" si="4"/>
        <v>27</v>
      </c>
    </row>
    <row r="8" spans="1:20" x14ac:dyDescent="0.25">
      <c r="A8" s="2" t="s">
        <v>17</v>
      </c>
      <c r="B8" s="1">
        <v>89</v>
      </c>
      <c r="C8" s="1">
        <v>94</v>
      </c>
      <c r="D8" s="1">
        <v>78</v>
      </c>
      <c r="E8" s="1">
        <v>86</v>
      </c>
      <c r="F8" s="1">
        <v>90</v>
      </c>
      <c r="G8" s="1">
        <v>92</v>
      </c>
      <c r="H8">
        <f t="shared" si="0"/>
        <v>529</v>
      </c>
      <c r="I8">
        <f t="shared" si="1"/>
        <v>88.166666666666671</v>
      </c>
      <c r="J8" t="str">
        <f t="shared" si="2"/>
        <v>A</v>
      </c>
      <c r="K8" t="str">
        <f t="shared" si="3"/>
        <v>PASS</v>
      </c>
      <c r="L8">
        <f t="shared" si="4"/>
        <v>17</v>
      </c>
    </row>
    <row r="9" spans="1:20" x14ac:dyDescent="0.25">
      <c r="A9" s="2" t="s">
        <v>18</v>
      </c>
      <c r="B9" s="1">
        <v>71</v>
      </c>
      <c r="C9" s="1">
        <v>68</v>
      </c>
      <c r="D9" s="1">
        <v>74</v>
      </c>
      <c r="E9" s="1">
        <v>79</v>
      </c>
      <c r="F9" s="1">
        <v>72</v>
      </c>
      <c r="G9" s="1">
        <v>70</v>
      </c>
      <c r="H9">
        <f t="shared" si="0"/>
        <v>434</v>
      </c>
      <c r="I9">
        <f t="shared" si="1"/>
        <v>72.333333333333329</v>
      </c>
      <c r="J9" t="str">
        <f t="shared" si="2"/>
        <v>B</v>
      </c>
      <c r="K9" t="str">
        <f t="shared" si="3"/>
        <v>PASS</v>
      </c>
      <c r="L9">
        <f t="shared" si="4"/>
        <v>41</v>
      </c>
    </row>
    <row r="10" spans="1:20" x14ac:dyDescent="0.25">
      <c r="A10" s="2" t="s">
        <v>19</v>
      </c>
      <c r="B10" s="1">
        <v>93</v>
      </c>
      <c r="C10" s="1">
        <v>81</v>
      </c>
      <c r="D10" s="1">
        <v>95</v>
      </c>
      <c r="E10" s="1">
        <v>88</v>
      </c>
      <c r="F10" s="1">
        <v>91</v>
      </c>
      <c r="G10" s="1">
        <v>87</v>
      </c>
      <c r="H10">
        <f t="shared" si="0"/>
        <v>535</v>
      </c>
      <c r="I10">
        <f t="shared" si="1"/>
        <v>89.166666666666671</v>
      </c>
      <c r="J10" t="str">
        <f t="shared" si="2"/>
        <v>A</v>
      </c>
      <c r="K10" t="str">
        <f t="shared" si="3"/>
        <v>PASS</v>
      </c>
      <c r="L10">
        <f t="shared" si="4"/>
        <v>15</v>
      </c>
      <c r="O10" t="s">
        <v>82</v>
      </c>
    </row>
    <row r="11" spans="1:20" x14ac:dyDescent="0.25">
      <c r="A11" s="2" t="s">
        <v>20</v>
      </c>
      <c r="B11" s="1">
        <v>87</v>
      </c>
      <c r="C11" s="1">
        <v>90</v>
      </c>
      <c r="D11" s="1">
        <v>83</v>
      </c>
      <c r="E11" s="1">
        <v>92</v>
      </c>
      <c r="F11" s="1">
        <v>86</v>
      </c>
      <c r="G11" s="1">
        <v>94</v>
      </c>
      <c r="H11">
        <f t="shared" si="0"/>
        <v>532</v>
      </c>
      <c r="I11">
        <f t="shared" si="1"/>
        <v>88.666666666666671</v>
      </c>
      <c r="J11" t="str">
        <f t="shared" si="2"/>
        <v>A</v>
      </c>
      <c r="K11" t="str">
        <f t="shared" si="3"/>
        <v>PASS</v>
      </c>
      <c r="L11">
        <f t="shared" si="4"/>
        <v>16</v>
      </c>
    </row>
    <row r="12" spans="1:20" x14ac:dyDescent="0.25">
      <c r="A12" s="2" t="s">
        <v>21</v>
      </c>
      <c r="B12" s="1">
        <v>65</v>
      </c>
      <c r="C12" s="1">
        <v>72</v>
      </c>
      <c r="D12" s="1">
        <v>69</v>
      </c>
      <c r="E12" s="1">
        <v>67</v>
      </c>
      <c r="F12" s="1">
        <v>74</v>
      </c>
      <c r="G12" s="1">
        <v>78</v>
      </c>
      <c r="H12">
        <f t="shared" si="0"/>
        <v>425</v>
      </c>
      <c r="I12">
        <f t="shared" si="1"/>
        <v>70.833333333333329</v>
      </c>
      <c r="J12" t="str">
        <f t="shared" si="2"/>
        <v>B</v>
      </c>
      <c r="K12" t="str">
        <f t="shared" si="3"/>
        <v>PASS</v>
      </c>
      <c r="L12">
        <f t="shared" si="4"/>
        <v>46</v>
      </c>
    </row>
    <row r="13" spans="1:20" x14ac:dyDescent="0.25">
      <c r="A13" s="2" t="s">
        <v>22</v>
      </c>
      <c r="B13" s="1">
        <v>92</v>
      </c>
      <c r="C13" s="1">
        <v>88</v>
      </c>
      <c r="D13" s="1">
        <v>81</v>
      </c>
      <c r="E13" s="1">
        <v>90</v>
      </c>
      <c r="F13" s="1">
        <v>85</v>
      </c>
      <c r="G13" s="1">
        <v>91</v>
      </c>
      <c r="H13">
        <f t="shared" si="0"/>
        <v>527</v>
      </c>
      <c r="I13">
        <f t="shared" si="1"/>
        <v>87.833333333333329</v>
      </c>
      <c r="J13" t="str">
        <f t="shared" si="2"/>
        <v>A</v>
      </c>
      <c r="K13" t="str">
        <f t="shared" si="3"/>
        <v>PASS</v>
      </c>
      <c r="L13">
        <f t="shared" si="4"/>
        <v>18</v>
      </c>
    </row>
    <row r="14" spans="1:20" x14ac:dyDescent="0.25">
      <c r="A14" s="2" t="s">
        <v>23</v>
      </c>
      <c r="B14" s="1">
        <v>78</v>
      </c>
      <c r="C14" s="1">
        <v>75</v>
      </c>
      <c r="D14" s="1">
        <v>86</v>
      </c>
      <c r="E14" s="1">
        <v>73</v>
      </c>
      <c r="F14" s="1">
        <v>82</v>
      </c>
      <c r="G14" s="1">
        <v>80</v>
      </c>
      <c r="H14">
        <f t="shared" si="0"/>
        <v>474</v>
      </c>
      <c r="I14">
        <f t="shared" si="1"/>
        <v>79</v>
      </c>
      <c r="J14" t="str">
        <f t="shared" si="2"/>
        <v>B</v>
      </c>
      <c r="K14" t="str">
        <f t="shared" si="3"/>
        <v>PASS</v>
      </c>
      <c r="L14">
        <f t="shared" si="4"/>
        <v>31</v>
      </c>
    </row>
    <row r="15" spans="1:20" x14ac:dyDescent="0.25">
      <c r="A15" s="2" t="s">
        <v>24</v>
      </c>
      <c r="B15" s="1">
        <v>96</v>
      </c>
      <c r="C15" s="1">
        <v>93</v>
      </c>
      <c r="D15" s="1">
        <v>90</v>
      </c>
      <c r="E15" s="1">
        <v>95</v>
      </c>
      <c r="F15" s="1">
        <v>94</v>
      </c>
      <c r="G15" s="1">
        <v>97</v>
      </c>
      <c r="H15">
        <f t="shared" si="0"/>
        <v>565</v>
      </c>
      <c r="I15">
        <f t="shared" si="1"/>
        <v>94.166666666666671</v>
      </c>
      <c r="J15" t="str">
        <f t="shared" si="2"/>
        <v>A+</v>
      </c>
      <c r="K15" t="str">
        <f t="shared" si="3"/>
        <v>PASS</v>
      </c>
      <c r="L15">
        <f t="shared" si="4"/>
        <v>2</v>
      </c>
    </row>
    <row r="16" spans="1:20" x14ac:dyDescent="0.25">
      <c r="A16" s="2" t="s">
        <v>25</v>
      </c>
      <c r="B16" s="1">
        <v>70</v>
      </c>
      <c r="C16" s="1">
        <v>66</v>
      </c>
      <c r="D16" s="1">
        <v>77</v>
      </c>
      <c r="E16" s="1">
        <v>69</v>
      </c>
      <c r="F16" s="1">
        <v>71</v>
      </c>
      <c r="G16" s="1">
        <v>73</v>
      </c>
      <c r="H16">
        <f t="shared" si="0"/>
        <v>426</v>
      </c>
      <c r="I16">
        <f t="shared" si="1"/>
        <v>71</v>
      </c>
      <c r="J16" t="str">
        <f t="shared" si="2"/>
        <v>B</v>
      </c>
      <c r="K16" t="str">
        <f t="shared" si="3"/>
        <v>PASS</v>
      </c>
      <c r="L16">
        <f t="shared" si="4"/>
        <v>44</v>
      </c>
    </row>
    <row r="17" spans="1:12" x14ac:dyDescent="0.25">
      <c r="A17" s="2" t="s">
        <v>26</v>
      </c>
      <c r="B17" s="1">
        <v>84</v>
      </c>
      <c r="C17" s="1">
        <v>89</v>
      </c>
      <c r="D17" s="1">
        <v>75</v>
      </c>
      <c r="E17" s="1">
        <v>83</v>
      </c>
      <c r="F17" s="1">
        <v>87</v>
      </c>
      <c r="G17" s="1">
        <v>90</v>
      </c>
      <c r="H17">
        <f t="shared" si="0"/>
        <v>508</v>
      </c>
      <c r="I17">
        <f t="shared" si="1"/>
        <v>84.666666666666671</v>
      </c>
      <c r="J17" t="str">
        <f t="shared" si="2"/>
        <v>A</v>
      </c>
      <c r="K17" t="str">
        <f t="shared" si="3"/>
        <v>PASS</v>
      </c>
      <c r="L17">
        <f t="shared" si="4"/>
        <v>25</v>
      </c>
    </row>
    <row r="18" spans="1:12" x14ac:dyDescent="0.25">
      <c r="A18" s="2" t="s">
        <v>27</v>
      </c>
      <c r="B18" s="1">
        <v>76</v>
      </c>
      <c r="C18" s="1">
        <v>71</v>
      </c>
      <c r="D18" s="1">
        <v>82</v>
      </c>
      <c r="E18" s="1">
        <v>78</v>
      </c>
      <c r="F18" s="1">
        <v>75</v>
      </c>
      <c r="G18" s="1">
        <v>79</v>
      </c>
      <c r="H18">
        <f t="shared" si="0"/>
        <v>461</v>
      </c>
      <c r="I18">
        <f t="shared" si="1"/>
        <v>76.833333333333329</v>
      </c>
      <c r="J18" t="str">
        <f t="shared" si="2"/>
        <v>B</v>
      </c>
      <c r="K18" t="str">
        <f t="shared" si="3"/>
        <v>PASS</v>
      </c>
      <c r="L18">
        <f t="shared" si="4"/>
        <v>37</v>
      </c>
    </row>
    <row r="19" spans="1:12" x14ac:dyDescent="0.25">
      <c r="A19" s="2" t="s">
        <v>28</v>
      </c>
      <c r="B19" s="1">
        <v>90</v>
      </c>
      <c r="C19" s="1">
        <v>92</v>
      </c>
      <c r="D19" s="1">
        <v>88</v>
      </c>
      <c r="E19" s="1">
        <v>91</v>
      </c>
      <c r="F19" s="1">
        <v>89</v>
      </c>
      <c r="G19" s="1">
        <v>95</v>
      </c>
      <c r="H19">
        <f t="shared" si="0"/>
        <v>545</v>
      </c>
      <c r="I19">
        <f t="shared" si="1"/>
        <v>90.833333333333329</v>
      </c>
      <c r="J19" t="str">
        <f t="shared" si="2"/>
        <v>A+</v>
      </c>
      <c r="K19" t="str">
        <f t="shared" si="3"/>
        <v>PASS</v>
      </c>
      <c r="L19">
        <f t="shared" si="4"/>
        <v>10</v>
      </c>
    </row>
    <row r="20" spans="1:12" x14ac:dyDescent="0.25">
      <c r="A20" s="2" t="s">
        <v>29</v>
      </c>
      <c r="B20" s="1">
        <v>67</v>
      </c>
      <c r="C20" s="1">
        <v>74</v>
      </c>
      <c r="D20" s="1">
        <v>71</v>
      </c>
      <c r="E20" s="1">
        <v>65</v>
      </c>
      <c r="F20" s="1">
        <v>70</v>
      </c>
      <c r="G20" s="1">
        <v>76</v>
      </c>
      <c r="H20">
        <f t="shared" si="0"/>
        <v>423</v>
      </c>
      <c r="I20">
        <f t="shared" si="1"/>
        <v>70.5</v>
      </c>
      <c r="J20" t="str">
        <f t="shared" si="2"/>
        <v>B</v>
      </c>
      <c r="K20" t="str">
        <f t="shared" si="3"/>
        <v>PASS</v>
      </c>
      <c r="L20">
        <f t="shared" si="4"/>
        <v>47</v>
      </c>
    </row>
    <row r="21" spans="1:12" x14ac:dyDescent="0.25">
      <c r="A21" s="2" t="s">
        <v>30</v>
      </c>
      <c r="B21" s="1">
        <v>94</v>
      </c>
      <c r="C21" s="1">
        <v>86</v>
      </c>
      <c r="D21" s="1">
        <v>93</v>
      </c>
      <c r="E21" s="1">
        <v>89</v>
      </c>
      <c r="F21" s="1">
        <v>91</v>
      </c>
      <c r="G21" s="1">
        <v>92</v>
      </c>
      <c r="H21">
        <f t="shared" si="0"/>
        <v>545</v>
      </c>
      <c r="I21">
        <f t="shared" si="1"/>
        <v>90.833333333333329</v>
      </c>
      <c r="J21" t="str">
        <f t="shared" si="2"/>
        <v>A+</v>
      </c>
      <c r="K21" t="str">
        <f t="shared" si="3"/>
        <v>PASS</v>
      </c>
      <c r="L21">
        <f t="shared" si="4"/>
        <v>10</v>
      </c>
    </row>
    <row r="22" spans="1:12" x14ac:dyDescent="0.25">
      <c r="A22" s="2" t="s">
        <v>31</v>
      </c>
      <c r="B22" s="1">
        <v>73</v>
      </c>
      <c r="C22" s="1">
        <v>68</v>
      </c>
      <c r="D22" s="1">
        <v>79</v>
      </c>
      <c r="E22" s="1">
        <v>74</v>
      </c>
      <c r="F22" s="1">
        <v>77</v>
      </c>
      <c r="G22" s="1">
        <v>72</v>
      </c>
      <c r="H22">
        <f t="shared" si="0"/>
        <v>443</v>
      </c>
      <c r="I22">
        <f t="shared" si="1"/>
        <v>73.833333333333329</v>
      </c>
      <c r="J22" t="str">
        <f t="shared" si="2"/>
        <v>B</v>
      </c>
      <c r="K22" t="str">
        <f t="shared" si="3"/>
        <v>PASS</v>
      </c>
      <c r="L22">
        <f t="shared" si="4"/>
        <v>40</v>
      </c>
    </row>
    <row r="23" spans="1:12" x14ac:dyDescent="0.25">
      <c r="A23" s="2" t="s">
        <v>32</v>
      </c>
      <c r="B23" s="1">
        <v>81</v>
      </c>
      <c r="C23" s="1">
        <v>79</v>
      </c>
      <c r="D23" s="1">
        <v>87</v>
      </c>
      <c r="E23" s="1">
        <v>80</v>
      </c>
      <c r="F23" s="1">
        <v>83</v>
      </c>
      <c r="G23" s="1">
        <v>85</v>
      </c>
      <c r="H23">
        <f t="shared" si="0"/>
        <v>495</v>
      </c>
      <c r="I23">
        <f t="shared" si="1"/>
        <v>82.5</v>
      </c>
      <c r="J23" t="str">
        <f t="shared" si="2"/>
        <v>A</v>
      </c>
      <c r="K23" t="str">
        <f t="shared" si="3"/>
        <v>PASS</v>
      </c>
      <c r="L23">
        <f t="shared" si="4"/>
        <v>28</v>
      </c>
    </row>
    <row r="24" spans="1:12" x14ac:dyDescent="0.25">
      <c r="A24" s="2" t="s">
        <v>33</v>
      </c>
      <c r="B24" s="1">
        <v>88</v>
      </c>
      <c r="C24" s="1">
        <v>95</v>
      </c>
      <c r="D24" s="1">
        <v>84</v>
      </c>
      <c r="E24" s="1">
        <v>93</v>
      </c>
      <c r="F24" s="1">
        <v>90</v>
      </c>
      <c r="G24" s="1">
        <v>96</v>
      </c>
      <c r="H24">
        <f t="shared" si="0"/>
        <v>546</v>
      </c>
      <c r="I24">
        <f t="shared" si="1"/>
        <v>91</v>
      </c>
      <c r="J24" t="str">
        <f t="shared" si="2"/>
        <v>A+</v>
      </c>
      <c r="K24" t="str">
        <f t="shared" si="3"/>
        <v>PASS</v>
      </c>
      <c r="L24">
        <f t="shared" si="4"/>
        <v>9</v>
      </c>
    </row>
    <row r="25" spans="1:12" x14ac:dyDescent="0.25">
      <c r="A25" s="2" t="s">
        <v>34</v>
      </c>
      <c r="B25" s="1">
        <v>69</v>
      </c>
      <c r="C25" s="1">
        <v>72</v>
      </c>
      <c r="D25" s="1">
        <v>66</v>
      </c>
      <c r="E25" s="1">
        <v>75</v>
      </c>
      <c r="F25" s="1">
        <v>68</v>
      </c>
      <c r="G25" s="1">
        <v>71</v>
      </c>
      <c r="H25">
        <f t="shared" si="0"/>
        <v>421</v>
      </c>
      <c r="I25">
        <f t="shared" si="1"/>
        <v>70.166666666666671</v>
      </c>
      <c r="J25" t="str">
        <f t="shared" si="2"/>
        <v>B</v>
      </c>
      <c r="K25" t="str">
        <f t="shared" si="3"/>
        <v>PASS</v>
      </c>
      <c r="L25">
        <f t="shared" si="4"/>
        <v>49</v>
      </c>
    </row>
    <row r="26" spans="1:12" x14ac:dyDescent="0.25">
      <c r="A26" s="2" t="s">
        <v>35</v>
      </c>
      <c r="B26" s="1">
        <v>93</v>
      </c>
      <c r="C26" s="1">
        <v>89</v>
      </c>
      <c r="D26" s="1">
        <v>91</v>
      </c>
      <c r="E26" s="1">
        <v>87</v>
      </c>
      <c r="F26" s="1">
        <v>94</v>
      </c>
      <c r="G26" s="1">
        <v>90</v>
      </c>
      <c r="H26">
        <f t="shared" si="0"/>
        <v>544</v>
      </c>
      <c r="I26">
        <f t="shared" si="1"/>
        <v>90.666666666666671</v>
      </c>
      <c r="J26" t="str">
        <f t="shared" si="2"/>
        <v>A+</v>
      </c>
      <c r="K26" t="str">
        <f t="shared" si="3"/>
        <v>PASS</v>
      </c>
      <c r="L26">
        <f t="shared" si="4"/>
        <v>13</v>
      </c>
    </row>
    <row r="27" spans="1:12" x14ac:dyDescent="0.25">
      <c r="A27" s="2" t="s">
        <v>36</v>
      </c>
      <c r="B27" s="1">
        <v>77</v>
      </c>
      <c r="C27" s="1">
        <v>70</v>
      </c>
      <c r="D27" s="1">
        <v>85</v>
      </c>
      <c r="E27" s="1">
        <v>79</v>
      </c>
      <c r="F27" s="1">
        <v>76</v>
      </c>
      <c r="G27" s="1">
        <v>82</v>
      </c>
      <c r="H27">
        <f t="shared" si="0"/>
        <v>469</v>
      </c>
      <c r="I27">
        <f t="shared" si="1"/>
        <v>78.166666666666671</v>
      </c>
      <c r="J27" t="str">
        <f t="shared" si="2"/>
        <v>B</v>
      </c>
      <c r="K27" t="str">
        <f t="shared" si="3"/>
        <v>PASS</v>
      </c>
      <c r="L27">
        <f t="shared" si="4"/>
        <v>34</v>
      </c>
    </row>
    <row r="28" spans="1:12" x14ac:dyDescent="0.25">
      <c r="A28" s="2" t="s">
        <v>37</v>
      </c>
      <c r="B28" s="1">
        <v>91</v>
      </c>
      <c r="C28" s="1">
        <v>96</v>
      </c>
      <c r="D28" s="1">
        <v>87</v>
      </c>
      <c r="E28" s="1">
        <v>92</v>
      </c>
      <c r="F28" s="1">
        <v>89</v>
      </c>
      <c r="G28" s="1">
        <v>94</v>
      </c>
      <c r="H28">
        <f t="shared" si="0"/>
        <v>549</v>
      </c>
      <c r="I28">
        <f t="shared" si="1"/>
        <v>91.5</v>
      </c>
      <c r="J28" t="str">
        <f t="shared" si="2"/>
        <v>A+</v>
      </c>
      <c r="K28" t="str">
        <f t="shared" si="3"/>
        <v>PASS</v>
      </c>
      <c r="L28">
        <f t="shared" si="4"/>
        <v>7</v>
      </c>
    </row>
    <row r="29" spans="1:12" x14ac:dyDescent="0.25">
      <c r="A29" s="2" t="s">
        <v>38</v>
      </c>
      <c r="B29" s="1">
        <v>64</v>
      </c>
      <c r="C29" s="1">
        <v>67</v>
      </c>
      <c r="D29" s="1">
        <v>73</v>
      </c>
      <c r="E29" s="1">
        <v>70</v>
      </c>
      <c r="F29" s="1">
        <v>66</v>
      </c>
      <c r="G29" s="1">
        <v>75</v>
      </c>
      <c r="H29">
        <f t="shared" si="0"/>
        <v>415</v>
      </c>
      <c r="I29">
        <f t="shared" si="1"/>
        <v>69.166666666666671</v>
      </c>
      <c r="J29" t="str">
        <f t="shared" si="2"/>
        <v>C</v>
      </c>
      <c r="K29" t="str">
        <f t="shared" si="3"/>
        <v>PASS</v>
      </c>
      <c r="L29">
        <f t="shared" si="4"/>
        <v>51</v>
      </c>
    </row>
    <row r="30" spans="1:12" x14ac:dyDescent="0.25">
      <c r="A30" s="2" t="s">
        <v>39</v>
      </c>
      <c r="B30" s="1">
        <v>85</v>
      </c>
      <c r="C30" s="1">
        <v>83</v>
      </c>
      <c r="D30" s="1">
        <v>80</v>
      </c>
      <c r="E30" s="1">
        <v>88</v>
      </c>
      <c r="F30" s="1">
        <v>86</v>
      </c>
      <c r="G30" s="1">
        <v>91</v>
      </c>
      <c r="H30">
        <f t="shared" si="0"/>
        <v>513</v>
      </c>
      <c r="I30">
        <f t="shared" si="1"/>
        <v>85.5</v>
      </c>
      <c r="J30" t="str">
        <f t="shared" si="2"/>
        <v>A</v>
      </c>
      <c r="K30" t="str">
        <f t="shared" si="3"/>
        <v>PASS</v>
      </c>
      <c r="L30">
        <f t="shared" si="4"/>
        <v>24</v>
      </c>
    </row>
    <row r="31" spans="1:12" x14ac:dyDescent="0.25">
      <c r="A31" s="2" t="s">
        <v>40</v>
      </c>
      <c r="B31" s="1">
        <v>72</v>
      </c>
      <c r="C31" s="1">
        <v>76</v>
      </c>
      <c r="D31" s="1">
        <v>89</v>
      </c>
      <c r="E31" s="1">
        <v>71</v>
      </c>
      <c r="F31" s="1">
        <v>74</v>
      </c>
      <c r="G31" s="1">
        <v>78</v>
      </c>
      <c r="H31">
        <f t="shared" si="0"/>
        <v>460</v>
      </c>
      <c r="I31">
        <f t="shared" si="1"/>
        <v>76.666666666666671</v>
      </c>
      <c r="J31" t="str">
        <f t="shared" si="2"/>
        <v>B</v>
      </c>
      <c r="K31" t="str">
        <f t="shared" si="3"/>
        <v>PASS</v>
      </c>
      <c r="L31">
        <f t="shared" si="4"/>
        <v>38</v>
      </c>
    </row>
    <row r="32" spans="1:12" ht="30" x14ac:dyDescent="0.25">
      <c r="A32" s="2" t="s">
        <v>41</v>
      </c>
      <c r="B32" s="1">
        <v>97</v>
      </c>
      <c r="C32" s="1">
        <v>94</v>
      </c>
      <c r="D32" s="1">
        <v>92</v>
      </c>
      <c r="E32" s="1">
        <v>96</v>
      </c>
      <c r="F32" s="1">
        <v>95</v>
      </c>
      <c r="G32" s="1">
        <v>98</v>
      </c>
      <c r="H32">
        <f t="shared" si="0"/>
        <v>572</v>
      </c>
      <c r="I32">
        <f t="shared" si="1"/>
        <v>95.333333333333329</v>
      </c>
      <c r="J32" t="str">
        <f t="shared" si="2"/>
        <v>A+</v>
      </c>
      <c r="K32" t="str">
        <f t="shared" si="3"/>
        <v>PASS</v>
      </c>
      <c r="L32">
        <f t="shared" si="4"/>
        <v>1</v>
      </c>
    </row>
    <row r="33" spans="1:12" x14ac:dyDescent="0.25">
      <c r="A33" s="2" t="s">
        <v>42</v>
      </c>
      <c r="B33" s="1">
        <v>79</v>
      </c>
      <c r="C33" s="1">
        <v>73</v>
      </c>
      <c r="D33" s="1">
        <v>81</v>
      </c>
      <c r="E33" s="1">
        <v>77</v>
      </c>
      <c r="F33" s="1">
        <v>80</v>
      </c>
      <c r="G33" s="1">
        <v>84</v>
      </c>
      <c r="H33">
        <f t="shared" si="0"/>
        <v>474</v>
      </c>
      <c r="I33">
        <f t="shared" si="1"/>
        <v>79</v>
      </c>
      <c r="J33" t="str">
        <f t="shared" si="2"/>
        <v>B</v>
      </c>
      <c r="K33" t="str">
        <f t="shared" si="3"/>
        <v>PASS</v>
      </c>
      <c r="L33">
        <f t="shared" si="4"/>
        <v>31</v>
      </c>
    </row>
    <row r="34" spans="1:12" x14ac:dyDescent="0.25">
      <c r="A34" s="2" t="s">
        <v>43</v>
      </c>
      <c r="B34" s="1">
        <v>68</v>
      </c>
      <c r="C34" s="1">
        <v>65</v>
      </c>
      <c r="D34" s="1">
        <v>76</v>
      </c>
      <c r="E34" s="1">
        <v>69</v>
      </c>
      <c r="F34" s="1">
        <v>73</v>
      </c>
      <c r="G34" s="1">
        <v>70</v>
      </c>
      <c r="H34">
        <f t="shared" si="0"/>
        <v>421</v>
      </c>
      <c r="I34">
        <f t="shared" si="1"/>
        <v>70.166666666666671</v>
      </c>
      <c r="J34" t="str">
        <f t="shared" si="2"/>
        <v>B</v>
      </c>
      <c r="K34" t="str">
        <f t="shared" si="3"/>
        <v>PASS</v>
      </c>
      <c r="L34">
        <f t="shared" si="4"/>
        <v>49</v>
      </c>
    </row>
    <row r="35" spans="1:12" x14ac:dyDescent="0.25">
      <c r="A35" s="2" t="s">
        <v>44</v>
      </c>
      <c r="B35" s="1">
        <v>89</v>
      </c>
      <c r="C35" s="1">
        <v>91</v>
      </c>
      <c r="D35" s="1">
        <v>85</v>
      </c>
      <c r="E35" s="1">
        <v>90</v>
      </c>
      <c r="F35" s="1">
        <v>88</v>
      </c>
      <c r="G35" s="1">
        <v>93</v>
      </c>
      <c r="H35">
        <f t="shared" si="0"/>
        <v>536</v>
      </c>
      <c r="I35">
        <f t="shared" si="1"/>
        <v>89.333333333333329</v>
      </c>
      <c r="J35" t="str">
        <f t="shared" si="2"/>
        <v>A</v>
      </c>
      <c r="K35" t="str">
        <f t="shared" si="3"/>
        <v>PASS</v>
      </c>
      <c r="L35">
        <f t="shared" si="4"/>
        <v>14</v>
      </c>
    </row>
    <row r="36" spans="1:12" x14ac:dyDescent="0.25">
      <c r="A36" s="2" t="s">
        <v>45</v>
      </c>
      <c r="B36" s="1">
        <v>83</v>
      </c>
      <c r="C36" s="1">
        <v>87</v>
      </c>
      <c r="D36" s="1">
        <v>79</v>
      </c>
      <c r="E36" s="1">
        <v>85</v>
      </c>
      <c r="F36" s="1">
        <v>82</v>
      </c>
      <c r="G36" s="1">
        <v>89</v>
      </c>
      <c r="H36">
        <f t="shared" si="0"/>
        <v>505</v>
      </c>
      <c r="I36">
        <f t="shared" si="1"/>
        <v>84.166666666666671</v>
      </c>
      <c r="J36" t="str">
        <f t="shared" si="2"/>
        <v>A</v>
      </c>
      <c r="K36" t="str">
        <f t="shared" si="3"/>
        <v>PASS</v>
      </c>
      <c r="L36">
        <f t="shared" si="4"/>
        <v>26</v>
      </c>
    </row>
    <row r="37" spans="1:12" x14ac:dyDescent="0.25">
      <c r="A37" s="2" t="s">
        <v>46</v>
      </c>
      <c r="B37" s="1">
        <v>75</v>
      </c>
      <c r="C37" s="1">
        <v>70</v>
      </c>
      <c r="D37" s="1">
        <v>92</v>
      </c>
      <c r="E37" s="1">
        <v>76</v>
      </c>
      <c r="F37" s="1">
        <v>78</v>
      </c>
      <c r="G37" s="1">
        <v>80</v>
      </c>
      <c r="H37">
        <f t="shared" si="0"/>
        <v>471</v>
      </c>
      <c r="I37">
        <f t="shared" si="1"/>
        <v>78.5</v>
      </c>
      <c r="J37" t="str">
        <f t="shared" si="2"/>
        <v>B</v>
      </c>
      <c r="K37" t="str">
        <f t="shared" si="3"/>
        <v>PASS</v>
      </c>
      <c r="L37">
        <f t="shared" si="4"/>
        <v>33</v>
      </c>
    </row>
    <row r="38" spans="1:12" x14ac:dyDescent="0.25">
      <c r="A38" s="2" t="s">
        <v>47</v>
      </c>
      <c r="B38" s="1">
        <v>88</v>
      </c>
      <c r="C38" s="1">
        <v>82</v>
      </c>
      <c r="D38" s="1">
        <v>90</v>
      </c>
      <c r="E38" s="1">
        <v>84</v>
      </c>
      <c r="F38" s="1">
        <v>86</v>
      </c>
      <c r="G38" s="1">
        <v>87</v>
      </c>
      <c r="H38">
        <f t="shared" si="0"/>
        <v>517</v>
      </c>
      <c r="I38">
        <f t="shared" si="1"/>
        <v>86.166666666666671</v>
      </c>
      <c r="J38" t="str">
        <f t="shared" si="2"/>
        <v>A</v>
      </c>
      <c r="K38" t="str">
        <f t="shared" si="3"/>
        <v>PASS</v>
      </c>
      <c r="L38">
        <f t="shared" si="4"/>
        <v>21</v>
      </c>
    </row>
    <row r="39" spans="1:12" x14ac:dyDescent="0.25">
      <c r="A39" s="2" t="s">
        <v>48</v>
      </c>
      <c r="B39" s="1">
        <v>94</v>
      </c>
      <c r="C39" s="1">
        <v>90</v>
      </c>
      <c r="D39" s="1">
        <v>86</v>
      </c>
      <c r="E39" s="1">
        <v>93</v>
      </c>
      <c r="F39" s="1">
        <v>91</v>
      </c>
      <c r="G39" s="1">
        <v>95</v>
      </c>
      <c r="H39">
        <f t="shared" si="0"/>
        <v>549</v>
      </c>
      <c r="I39">
        <f t="shared" si="1"/>
        <v>91.5</v>
      </c>
      <c r="J39" t="str">
        <f t="shared" si="2"/>
        <v>A+</v>
      </c>
      <c r="K39" t="str">
        <f t="shared" si="3"/>
        <v>PASS</v>
      </c>
      <c r="L39">
        <f t="shared" si="4"/>
        <v>7</v>
      </c>
    </row>
    <row r="40" spans="1:12" x14ac:dyDescent="0.25">
      <c r="A40" s="2" t="s">
        <v>49</v>
      </c>
      <c r="B40" s="1">
        <v>66</v>
      </c>
      <c r="C40" s="1">
        <v>71</v>
      </c>
      <c r="D40" s="1">
        <v>78</v>
      </c>
      <c r="E40" s="1">
        <v>73</v>
      </c>
      <c r="F40" s="1">
        <v>69</v>
      </c>
      <c r="G40" s="1">
        <v>77</v>
      </c>
      <c r="H40">
        <f t="shared" si="0"/>
        <v>434</v>
      </c>
      <c r="I40">
        <f t="shared" si="1"/>
        <v>72.333333333333329</v>
      </c>
      <c r="J40" t="str">
        <f t="shared" si="2"/>
        <v>B</v>
      </c>
      <c r="K40" t="str">
        <f t="shared" si="3"/>
        <v>PASS</v>
      </c>
      <c r="L40">
        <f t="shared" si="4"/>
        <v>41</v>
      </c>
    </row>
    <row r="41" spans="1:12" x14ac:dyDescent="0.25">
      <c r="A41" s="2" t="s">
        <v>50</v>
      </c>
      <c r="B41" s="1">
        <v>90</v>
      </c>
      <c r="C41" s="1">
        <v>88</v>
      </c>
      <c r="D41" s="1">
        <v>94</v>
      </c>
      <c r="E41" s="1">
        <v>91</v>
      </c>
      <c r="F41" s="1">
        <v>93</v>
      </c>
      <c r="G41" s="1">
        <v>96</v>
      </c>
      <c r="H41">
        <f t="shared" si="0"/>
        <v>552</v>
      </c>
      <c r="I41">
        <f t="shared" si="1"/>
        <v>92</v>
      </c>
      <c r="J41" t="str">
        <f t="shared" si="2"/>
        <v>A+</v>
      </c>
      <c r="K41" t="str">
        <f t="shared" si="3"/>
        <v>PASS</v>
      </c>
      <c r="L41">
        <f t="shared" si="4"/>
        <v>6</v>
      </c>
    </row>
    <row r="42" spans="1:12" x14ac:dyDescent="0.25">
      <c r="A42" s="2" t="s">
        <v>51</v>
      </c>
      <c r="B42" s="1">
        <v>73</v>
      </c>
      <c r="C42" s="1">
        <v>69</v>
      </c>
      <c r="D42" s="1">
        <v>83</v>
      </c>
      <c r="E42" s="1">
        <v>76</v>
      </c>
      <c r="F42" s="1">
        <v>72</v>
      </c>
      <c r="G42" s="1">
        <v>79</v>
      </c>
      <c r="H42">
        <f t="shared" si="0"/>
        <v>452</v>
      </c>
      <c r="I42">
        <f t="shared" si="1"/>
        <v>75.333333333333329</v>
      </c>
      <c r="J42" t="str">
        <f t="shared" si="2"/>
        <v>B</v>
      </c>
      <c r="K42" t="str">
        <f t="shared" si="3"/>
        <v>PASS</v>
      </c>
      <c r="L42">
        <f t="shared" si="4"/>
        <v>39</v>
      </c>
    </row>
    <row r="43" spans="1:12" x14ac:dyDescent="0.25">
      <c r="A43" s="2" t="s">
        <v>52</v>
      </c>
      <c r="B43" s="1">
        <v>86</v>
      </c>
      <c r="C43" s="1">
        <v>93</v>
      </c>
      <c r="D43" s="1">
        <v>80</v>
      </c>
      <c r="E43" s="1">
        <v>89</v>
      </c>
      <c r="F43" s="1">
        <v>87</v>
      </c>
      <c r="G43" s="1">
        <v>92</v>
      </c>
      <c r="H43">
        <f t="shared" si="0"/>
        <v>527</v>
      </c>
      <c r="I43">
        <f t="shared" si="1"/>
        <v>87.833333333333329</v>
      </c>
      <c r="J43" t="str">
        <f t="shared" si="2"/>
        <v>A</v>
      </c>
      <c r="K43" t="str">
        <f t="shared" si="3"/>
        <v>PASS</v>
      </c>
      <c r="L43">
        <f t="shared" si="4"/>
        <v>18</v>
      </c>
    </row>
    <row r="44" spans="1:12" x14ac:dyDescent="0.25">
      <c r="A44" s="2" t="s">
        <v>53</v>
      </c>
      <c r="B44" s="1">
        <v>71</v>
      </c>
      <c r="C44" s="1">
        <v>75</v>
      </c>
      <c r="D44" s="1">
        <v>68</v>
      </c>
      <c r="E44" s="1">
        <v>72</v>
      </c>
      <c r="F44" s="1">
        <v>70</v>
      </c>
      <c r="G44" s="1">
        <v>74</v>
      </c>
      <c r="H44">
        <f t="shared" si="0"/>
        <v>430</v>
      </c>
      <c r="I44">
        <f t="shared" si="1"/>
        <v>71.666666666666671</v>
      </c>
      <c r="J44" t="str">
        <f t="shared" si="2"/>
        <v>B</v>
      </c>
      <c r="K44" t="str">
        <f t="shared" si="3"/>
        <v>PASS</v>
      </c>
      <c r="L44">
        <f t="shared" si="4"/>
        <v>43</v>
      </c>
    </row>
    <row r="45" spans="1:12" ht="30" x14ac:dyDescent="0.25">
      <c r="A45" s="2" t="s">
        <v>54</v>
      </c>
      <c r="B45" s="1">
        <v>92</v>
      </c>
      <c r="C45" s="1">
        <v>89</v>
      </c>
      <c r="D45" s="1">
        <v>96</v>
      </c>
      <c r="E45" s="1">
        <v>94</v>
      </c>
      <c r="F45" s="1">
        <v>90</v>
      </c>
      <c r="G45" s="1">
        <v>97</v>
      </c>
      <c r="H45">
        <f t="shared" si="0"/>
        <v>558</v>
      </c>
      <c r="I45">
        <f t="shared" si="1"/>
        <v>93</v>
      </c>
      <c r="J45" t="str">
        <f t="shared" si="2"/>
        <v>A+</v>
      </c>
      <c r="K45" t="str">
        <f t="shared" si="3"/>
        <v>PASS</v>
      </c>
      <c r="L45">
        <f t="shared" si="4"/>
        <v>3</v>
      </c>
    </row>
    <row r="46" spans="1:12" x14ac:dyDescent="0.25">
      <c r="A46" s="2" t="s">
        <v>55</v>
      </c>
      <c r="B46" s="1">
        <v>84</v>
      </c>
      <c r="C46" s="1">
        <v>86</v>
      </c>
      <c r="D46" s="1">
        <v>82</v>
      </c>
      <c r="E46" s="1">
        <v>87</v>
      </c>
      <c r="F46" s="1">
        <v>85</v>
      </c>
      <c r="G46" s="1">
        <v>90</v>
      </c>
      <c r="H46">
        <f t="shared" si="0"/>
        <v>514</v>
      </c>
      <c r="I46">
        <f t="shared" si="1"/>
        <v>85.666666666666671</v>
      </c>
      <c r="J46" t="str">
        <f t="shared" si="2"/>
        <v>A</v>
      </c>
      <c r="K46" t="str">
        <f t="shared" si="3"/>
        <v>PASS</v>
      </c>
      <c r="L46">
        <f t="shared" si="4"/>
        <v>23</v>
      </c>
    </row>
    <row r="47" spans="1:12" x14ac:dyDescent="0.25">
      <c r="A47" s="2" t="s">
        <v>56</v>
      </c>
      <c r="B47" s="1">
        <v>77</v>
      </c>
      <c r="C47" s="1">
        <v>79</v>
      </c>
      <c r="D47" s="1">
        <v>88</v>
      </c>
      <c r="E47" s="1">
        <v>74</v>
      </c>
      <c r="F47" s="1">
        <v>81</v>
      </c>
      <c r="G47" s="1">
        <v>83</v>
      </c>
      <c r="H47">
        <f t="shared" si="0"/>
        <v>482</v>
      </c>
      <c r="I47">
        <f t="shared" si="1"/>
        <v>80.333333333333329</v>
      </c>
      <c r="J47" t="str">
        <f t="shared" si="2"/>
        <v>A</v>
      </c>
      <c r="K47" t="str">
        <f t="shared" si="3"/>
        <v>PASS</v>
      </c>
      <c r="L47">
        <f t="shared" si="4"/>
        <v>30</v>
      </c>
    </row>
    <row r="48" spans="1:12" x14ac:dyDescent="0.25">
      <c r="A48" s="2" t="s">
        <v>57</v>
      </c>
      <c r="B48" s="1">
        <v>95</v>
      </c>
      <c r="C48" s="1">
        <v>92</v>
      </c>
      <c r="D48" s="1">
        <v>89</v>
      </c>
      <c r="E48" s="1">
        <v>96</v>
      </c>
      <c r="F48" s="1">
        <v>94</v>
      </c>
      <c r="G48" s="1">
        <v>91</v>
      </c>
      <c r="H48">
        <f t="shared" si="0"/>
        <v>557</v>
      </c>
      <c r="I48">
        <f t="shared" si="1"/>
        <v>92.833333333333329</v>
      </c>
      <c r="J48" t="str">
        <f t="shared" si="2"/>
        <v>A+</v>
      </c>
      <c r="K48" t="str">
        <f t="shared" si="3"/>
        <v>PASS</v>
      </c>
      <c r="L48">
        <f t="shared" si="4"/>
        <v>4</v>
      </c>
    </row>
    <row r="49" spans="1:12" x14ac:dyDescent="0.25">
      <c r="A49" s="2" t="s">
        <v>58</v>
      </c>
      <c r="B49" s="1">
        <v>69</v>
      </c>
      <c r="C49" s="1">
        <v>67</v>
      </c>
      <c r="D49" s="1">
        <v>72</v>
      </c>
      <c r="E49" s="1">
        <v>70</v>
      </c>
      <c r="F49" s="1">
        <v>75</v>
      </c>
      <c r="G49" s="1">
        <v>73</v>
      </c>
      <c r="H49">
        <f t="shared" si="0"/>
        <v>426</v>
      </c>
      <c r="I49">
        <f t="shared" si="1"/>
        <v>71</v>
      </c>
      <c r="J49" t="str">
        <f t="shared" si="2"/>
        <v>B</v>
      </c>
      <c r="K49" t="str">
        <f t="shared" si="3"/>
        <v>PASS</v>
      </c>
      <c r="L49">
        <f t="shared" si="4"/>
        <v>44</v>
      </c>
    </row>
    <row r="50" spans="1:12" x14ac:dyDescent="0.25">
      <c r="A50" s="2" t="s">
        <v>59</v>
      </c>
      <c r="B50" s="1">
        <v>87</v>
      </c>
      <c r="C50" s="1">
        <v>90</v>
      </c>
      <c r="D50" s="1">
        <v>93</v>
      </c>
      <c r="E50" s="1">
        <v>88</v>
      </c>
      <c r="F50" s="1">
        <v>92</v>
      </c>
      <c r="G50" s="1">
        <v>95</v>
      </c>
      <c r="H50">
        <f t="shared" si="0"/>
        <v>545</v>
      </c>
      <c r="I50">
        <f t="shared" si="1"/>
        <v>90.833333333333329</v>
      </c>
      <c r="J50" t="str">
        <f t="shared" si="2"/>
        <v>A+</v>
      </c>
      <c r="K50" t="str">
        <f t="shared" si="3"/>
        <v>PASS</v>
      </c>
      <c r="L50">
        <f t="shared" si="4"/>
        <v>10</v>
      </c>
    </row>
    <row r="51" spans="1:12" x14ac:dyDescent="0.25">
      <c r="A51" s="2" t="s">
        <v>60</v>
      </c>
      <c r="B51" s="1">
        <v>80</v>
      </c>
      <c r="C51" s="1">
        <v>74</v>
      </c>
      <c r="D51" s="1">
        <v>85</v>
      </c>
      <c r="E51" s="1">
        <v>81</v>
      </c>
      <c r="F51" s="1">
        <v>79</v>
      </c>
      <c r="G51" s="1">
        <v>86</v>
      </c>
      <c r="H51">
        <f t="shared" si="0"/>
        <v>485</v>
      </c>
      <c r="I51">
        <f t="shared" si="1"/>
        <v>80.833333333333329</v>
      </c>
      <c r="J51" t="str">
        <f t="shared" si="2"/>
        <v>A</v>
      </c>
      <c r="K51" t="str">
        <f t="shared" si="3"/>
        <v>PASS</v>
      </c>
      <c r="L51">
        <f t="shared" si="4"/>
        <v>29</v>
      </c>
    </row>
    <row r="52" spans="1:12" x14ac:dyDescent="0.25">
      <c r="A52" s="2" t="s">
        <v>61</v>
      </c>
      <c r="B52" s="1">
        <v>74</v>
      </c>
      <c r="C52" s="1">
        <v>78</v>
      </c>
      <c r="D52" s="1">
        <v>80</v>
      </c>
      <c r="E52" s="1">
        <v>73</v>
      </c>
      <c r="F52" s="1">
        <v>77</v>
      </c>
      <c r="G52" s="1">
        <v>82</v>
      </c>
      <c r="H52">
        <f t="shared" si="0"/>
        <v>464</v>
      </c>
      <c r="I52">
        <f t="shared" si="1"/>
        <v>77.333333333333329</v>
      </c>
      <c r="J52" t="str">
        <f t="shared" si="2"/>
        <v>B</v>
      </c>
      <c r="K52" t="str">
        <f t="shared" si="3"/>
        <v>PASS</v>
      </c>
      <c r="L52">
        <f t="shared" si="4"/>
        <v>35</v>
      </c>
    </row>
    <row r="53" spans="1:12" x14ac:dyDescent="0.25">
      <c r="A53" s="2"/>
    </row>
    <row r="54" spans="1:12" ht="30" x14ac:dyDescent="0.25">
      <c r="A54" s="2" t="s">
        <v>70</v>
      </c>
      <c r="B54">
        <f>AVERAGE(B2:B52)</f>
        <v>81.529411764705884</v>
      </c>
    </row>
    <row r="55" spans="1:12" ht="30" x14ac:dyDescent="0.25">
      <c r="A55" s="2" t="s">
        <v>69</v>
      </c>
      <c r="B55">
        <f>AVERAGE(C2:C52)</f>
        <v>80.588235294117652</v>
      </c>
    </row>
    <row r="56" spans="1:12" ht="30" x14ac:dyDescent="0.25">
      <c r="A56" s="2" t="s">
        <v>68</v>
      </c>
      <c r="B56">
        <f>AVERAGE(D2:D52)</f>
        <v>83</v>
      </c>
    </row>
    <row r="57" spans="1:12" ht="30" x14ac:dyDescent="0.25">
      <c r="A57" s="2" t="s">
        <v>67</v>
      </c>
      <c r="B57">
        <f>AVERAGE(E2:E52)</f>
        <v>81.960784313725483</v>
      </c>
    </row>
    <row r="58" spans="1:12" ht="30" x14ac:dyDescent="0.25">
      <c r="A58" s="2" t="s">
        <v>66</v>
      </c>
      <c r="B58">
        <f>AVERAGE(F2:F52)</f>
        <v>82.137254901960787</v>
      </c>
    </row>
    <row r="59" spans="1:12" ht="30" x14ac:dyDescent="0.25">
      <c r="A59" s="2" t="s">
        <v>65</v>
      </c>
      <c r="B59">
        <f>AVERAGE(G2:G52)</f>
        <v>85.549019607843135</v>
      </c>
    </row>
    <row r="61" spans="1:12" x14ac:dyDescent="0.25">
      <c r="A61" s="2" t="s">
        <v>71</v>
      </c>
      <c r="B61" t="s">
        <v>78</v>
      </c>
    </row>
    <row r="62" spans="1:12" x14ac:dyDescent="0.25">
      <c r="A62" s="2" t="s">
        <v>72</v>
      </c>
      <c r="B62">
        <f>COUNTIF(J2:J51,"A+")</f>
        <v>13</v>
      </c>
    </row>
    <row r="63" spans="1:12" x14ac:dyDescent="0.25">
      <c r="A63" s="2" t="s">
        <v>73</v>
      </c>
      <c r="B63">
        <f t="shared" ref="B63:B67" si="5">COUNTIF(J3:J52,"A+")</f>
        <v>13</v>
      </c>
    </row>
    <row r="64" spans="1:12" x14ac:dyDescent="0.25">
      <c r="A64" s="2" t="s">
        <v>74</v>
      </c>
      <c r="B64">
        <f t="shared" si="5"/>
        <v>13</v>
      </c>
    </row>
    <row r="65" spans="1:2" x14ac:dyDescent="0.25">
      <c r="A65" s="2" t="s">
        <v>75</v>
      </c>
      <c r="B65">
        <f t="shared" si="5"/>
        <v>13</v>
      </c>
    </row>
    <row r="66" spans="1:2" x14ac:dyDescent="0.25">
      <c r="A66" s="2" t="s">
        <v>76</v>
      </c>
      <c r="B66">
        <f t="shared" si="5"/>
        <v>12</v>
      </c>
    </row>
    <row r="67" spans="1:2" x14ac:dyDescent="0.25">
      <c r="A67" s="2" t="s">
        <v>77</v>
      </c>
      <c r="B67">
        <f t="shared" si="5"/>
        <v>12</v>
      </c>
    </row>
  </sheetData>
  <conditionalFormatting sqref="A2:H52">
    <cfRule type="cellIs" dxfId="2" priority="2" operator="lessThan">
      <formula>70</formula>
    </cfRule>
    <cfRule type="cellIs" dxfId="1" priority="3" operator="lessThan">
      <formula>50</formula>
    </cfRule>
  </conditionalFormatting>
  <conditionalFormatting sqref="A2:L52">
    <cfRule type="top10" dxfId="0" priority="1" rank="5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C0C3B-B438-468D-98FA-66D9DC1DEB9F}">
  <dimension ref="A2:J61"/>
  <sheetViews>
    <sheetView workbookViewId="0"/>
  </sheetViews>
  <sheetFormatPr defaultRowHeight="15" x14ac:dyDescent="0.25"/>
  <sheetData>
    <row r="2" spans="1:10" ht="23.25" x14ac:dyDescent="0.35">
      <c r="B2" s="3" t="s">
        <v>83</v>
      </c>
      <c r="C2" s="3"/>
      <c r="D2" s="3"/>
      <c r="E2" s="3"/>
      <c r="F2" s="3"/>
      <c r="G2" s="3"/>
      <c r="H2" s="3"/>
    </row>
    <row r="4" spans="1:10" x14ac:dyDescent="0.25">
      <c r="A4" s="9"/>
      <c r="B4" s="7" t="s">
        <v>84</v>
      </c>
      <c r="C4" s="7"/>
      <c r="D4" s="7" t="s">
        <v>85</v>
      </c>
      <c r="E4" s="7"/>
      <c r="F4" s="7" t="s">
        <v>86</v>
      </c>
      <c r="G4" s="7"/>
      <c r="H4" s="7" t="s">
        <v>87</v>
      </c>
      <c r="I4" s="7"/>
    </row>
    <row r="5" spans="1:10" x14ac:dyDescent="0.25">
      <c r="A5" s="4"/>
      <c r="B5" s="5">
        <f>COUNT(Sheet1!H2:H51)</f>
        <v>50</v>
      </c>
      <c r="C5" s="5"/>
      <c r="D5" s="8">
        <f>AVERAGE(Sheet1!I2:I52)</f>
        <v>82.460784313725469</v>
      </c>
      <c r="E5" s="5"/>
      <c r="F5" s="6">
        <f>COUNTIF(Sheet1!K2:K52,"Pass")/COUNTA(Sheet1!H2:H52)</f>
        <v>1</v>
      </c>
      <c r="G5" s="5"/>
      <c r="H5" s="5">
        <f>MAX(Sheet1!H2:H52)</f>
        <v>572</v>
      </c>
      <c r="I5" s="5"/>
    </row>
    <row r="8" spans="1:10" ht="23.25" x14ac:dyDescent="0.35">
      <c r="B8" s="3" t="s">
        <v>88</v>
      </c>
      <c r="C8" s="3"/>
      <c r="D8" s="3"/>
      <c r="E8" s="3"/>
    </row>
    <row r="10" spans="1:10" x14ac:dyDescent="0.25">
      <c r="B10" s="9" t="s">
        <v>0</v>
      </c>
      <c r="C10" s="9"/>
      <c r="D10" s="9" t="s">
        <v>7</v>
      </c>
      <c r="E10" s="9"/>
      <c r="F10" s="9" t="s">
        <v>8</v>
      </c>
      <c r="G10" s="9"/>
      <c r="H10" s="9" t="s">
        <v>9</v>
      </c>
      <c r="I10" s="9"/>
      <c r="J10" s="9" t="s">
        <v>89</v>
      </c>
    </row>
    <row r="11" spans="1:10" x14ac:dyDescent="0.25">
      <c r="B11" s="10" t="str">
        <f>Sheet1!A2</f>
        <v>Aarav</v>
      </c>
      <c r="C11" s="10"/>
      <c r="D11" s="10">
        <f>Sheet1!H2</f>
        <v>515</v>
      </c>
      <c r="E11" s="10"/>
      <c r="F11" s="11">
        <f>Sheet1!I2</f>
        <v>85.833333333333329</v>
      </c>
      <c r="G11" s="10"/>
      <c r="H11" s="10" t="str">
        <f>Sheet1!J2</f>
        <v>A</v>
      </c>
      <c r="I11" s="10"/>
      <c r="J11" s="10" t="str">
        <f>Sheet1!K2</f>
        <v>PASS</v>
      </c>
    </row>
    <row r="12" spans="1:10" x14ac:dyDescent="0.25">
      <c r="B12" s="10" t="str">
        <f>Sheet1!A3</f>
        <v>Ananya</v>
      </c>
      <c r="C12" s="10"/>
      <c r="D12" s="10">
        <f>Sheet1!H3</f>
        <v>518</v>
      </c>
      <c r="E12" s="10"/>
      <c r="F12" s="11">
        <f>Sheet1!I3</f>
        <v>86.333333333333329</v>
      </c>
      <c r="G12" s="10"/>
      <c r="H12" s="10" t="str">
        <f>Sheet1!J3</f>
        <v>A</v>
      </c>
      <c r="I12" s="10"/>
      <c r="J12" s="10" t="str">
        <f>Sheet1!K3</f>
        <v>PASS</v>
      </c>
    </row>
    <row r="13" spans="1:10" x14ac:dyDescent="0.25">
      <c r="B13" s="10" t="str">
        <f>Sheet1!A4</f>
        <v>Arjun</v>
      </c>
      <c r="C13" s="10"/>
      <c r="D13" s="10">
        <f>Sheet1!H4</f>
        <v>463</v>
      </c>
      <c r="E13" s="10"/>
      <c r="F13" s="11">
        <f>Sheet1!I4</f>
        <v>77.166666666666671</v>
      </c>
      <c r="G13" s="10"/>
      <c r="H13" s="10" t="str">
        <f>Sheet1!J4</f>
        <v>B</v>
      </c>
      <c r="I13" s="10"/>
      <c r="J13" s="10" t="str">
        <f>Sheet1!K4</f>
        <v>PASS</v>
      </c>
    </row>
    <row r="14" spans="1:10" x14ac:dyDescent="0.25">
      <c r="B14" s="10" t="str">
        <f>Sheet1!A5</f>
        <v>Aishwarya</v>
      </c>
      <c r="C14" s="10"/>
      <c r="D14" s="10">
        <f>Sheet1!H5</f>
        <v>557</v>
      </c>
      <c r="E14" s="10"/>
      <c r="F14" s="11">
        <f>Sheet1!I5</f>
        <v>92.833333333333329</v>
      </c>
      <c r="G14" s="10"/>
      <c r="H14" s="10" t="str">
        <f>Sheet1!J5</f>
        <v>A+</v>
      </c>
      <c r="I14" s="10"/>
      <c r="J14" s="10" t="str">
        <f>Sheet1!K5</f>
        <v>PASS</v>
      </c>
    </row>
    <row r="15" spans="1:10" x14ac:dyDescent="0.25">
      <c r="B15" s="10" t="str">
        <f>Sheet1!A6</f>
        <v>Bharath</v>
      </c>
      <c r="C15" s="10"/>
      <c r="D15" s="10">
        <f>Sheet1!H6</f>
        <v>422</v>
      </c>
      <c r="E15" s="10"/>
      <c r="F15" s="11">
        <f>Sheet1!I6</f>
        <v>70.333333333333329</v>
      </c>
      <c r="G15" s="10"/>
      <c r="H15" s="10" t="str">
        <f>Sheet1!J6</f>
        <v>B</v>
      </c>
      <c r="I15" s="10"/>
      <c r="J15" s="10" t="str">
        <f>Sheet1!K6</f>
        <v>PASS</v>
      </c>
    </row>
    <row r="16" spans="1:10" x14ac:dyDescent="0.25">
      <c r="B16" s="10" t="str">
        <f>Sheet1!A7</f>
        <v>Deepak</v>
      </c>
      <c r="C16" s="10"/>
      <c r="D16" s="10">
        <f>Sheet1!H7</f>
        <v>503</v>
      </c>
      <c r="E16" s="10"/>
      <c r="F16" s="11">
        <f>Sheet1!I7</f>
        <v>83.833333333333329</v>
      </c>
      <c r="G16" s="10"/>
      <c r="H16" s="10" t="str">
        <f>Sheet1!J7</f>
        <v>A</v>
      </c>
      <c r="I16" s="10"/>
      <c r="J16" s="10" t="str">
        <f>Sheet1!K7</f>
        <v>PASS</v>
      </c>
    </row>
    <row r="17" spans="2:10" x14ac:dyDescent="0.25">
      <c r="B17" s="10" t="str">
        <f>Sheet1!A8</f>
        <v>Divya</v>
      </c>
      <c r="C17" s="10"/>
      <c r="D17" s="10">
        <f>Sheet1!H8</f>
        <v>529</v>
      </c>
      <c r="E17" s="10"/>
      <c r="F17" s="11">
        <f>Sheet1!I8</f>
        <v>88.166666666666671</v>
      </c>
      <c r="G17" s="10"/>
      <c r="H17" s="10" t="str">
        <f>Sheet1!J8</f>
        <v>A</v>
      </c>
      <c r="I17" s="10"/>
      <c r="J17" s="10" t="str">
        <f>Sheet1!K8</f>
        <v>PASS</v>
      </c>
    </row>
    <row r="18" spans="2:10" x14ac:dyDescent="0.25">
      <c r="B18" s="10" t="str">
        <f>Sheet1!A9</f>
        <v>Dinesh</v>
      </c>
      <c r="C18" s="10"/>
      <c r="D18" s="10">
        <f>Sheet1!H9</f>
        <v>434</v>
      </c>
      <c r="E18" s="10"/>
      <c r="F18" s="11">
        <f>Sheet1!I9</f>
        <v>72.333333333333329</v>
      </c>
      <c r="G18" s="10"/>
      <c r="H18" s="10" t="str">
        <f>Sheet1!J9</f>
        <v>B</v>
      </c>
      <c r="I18" s="10"/>
      <c r="J18" s="10" t="str">
        <f>Sheet1!K9</f>
        <v>PASS</v>
      </c>
    </row>
    <row r="19" spans="2:10" x14ac:dyDescent="0.25">
      <c r="B19" s="10" t="str">
        <f>Sheet1!A10</f>
        <v>Harish</v>
      </c>
      <c r="C19" s="10"/>
      <c r="D19" s="10">
        <f>Sheet1!H10</f>
        <v>535</v>
      </c>
      <c r="E19" s="10"/>
      <c r="F19" s="11">
        <f>Sheet1!I10</f>
        <v>89.166666666666671</v>
      </c>
      <c r="G19" s="10"/>
      <c r="H19" s="10" t="str">
        <f>Sheet1!J10</f>
        <v>A</v>
      </c>
      <c r="I19" s="10"/>
      <c r="J19" s="10" t="str">
        <f>Sheet1!K10</f>
        <v>PASS</v>
      </c>
    </row>
    <row r="20" spans="2:10" x14ac:dyDescent="0.25">
      <c r="B20" s="10" t="str">
        <f>Sheet1!A11</f>
        <v>Harini</v>
      </c>
      <c r="C20" s="10"/>
      <c r="D20" s="10">
        <f>Sheet1!H11</f>
        <v>532</v>
      </c>
      <c r="E20" s="10"/>
      <c r="F20" s="11">
        <f>Sheet1!I11</f>
        <v>88.666666666666671</v>
      </c>
      <c r="G20" s="10"/>
      <c r="H20" s="10" t="str">
        <f>Sheet1!J11</f>
        <v>A</v>
      </c>
      <c r="I20" s="10"/>
      <c r="J20" s="10" t="str">
        <f>Sheet1!K11</f>
        <v>PASS</v>
      </c>
    </row>
    <row r="21" spans="2:10" x14ac:dyDescent="0.25">
      <c r="B21" s="10" t="str">
        <f>Sheet1!A12</f>
        <v>Gokul</v>
      </c>
      <c r="C21" s="10"/>
      <c r="D21" s="10">
        <f>Sheet1!H12</f>
        <v>425</v>
      </c>
      <c r="E21" s="10"/>
      <c r="F21" s="11">
        <f>Sheet1!I12</f>
        <v>70.833333333333329</v>
      </c>
      <c r="G21" s="10"/>
      <c r="H21" s="10" t="str">
        <f>Sheet1!J12</f>
        <v>B</v>
      </c>
      <c r="I21" s="10"/>
      <c r="J21" s="10" t="str">
        <f>Sheet1!K12</f>
        <v>PASS</v>
      </c>
    </row>
    <row r="22" spans="2:10" x14ac:dyDescent="0.25">
      <c r="B22" s="10" t="str">
        <f>Sheet1!A13</f>
        <v>Gayathri</v>
      </c>
      <c r="C22" s="10"/>
      <c r="D22" s="10">
        <f>Sheet1!H13</f>
        <v>527</v>
      </c>
      <c r="E22" s="10"/>
      <c r="F22" s="11">
        <f>Sheet1!I13</f>
        <v>87.833333333333329</v>
      </c>
      <c r="G22" s="10"/>
      <c r="H22" s="10" t="str">
        <f>Sheet1!J13</f>
        <v>A</v>
      </c>
      <c r="I22" s="10"/>
      <c r="J22" s="10" t="str">
        <f>Sheet1!K13</f>
        <v>PASS</v>
      </c>
    </row>
    <row r="23" spans="2:10" x14ac:dyDescent="0.25">
      <c r="B23" s="10" t="str">
        <f>Sheet1!A14</f>
        <v>Karthik</v>
      </c>
      <c r="C23" s="10"/>
      <c r="D23" s="10">
        <f>Sheet1!H14</f>
        <v>474</v>
      </c>
      <c r="E23" s="10"/>
      <c r="F23" s="11">
        <f>Sheet1!I14</f>
        <v>79</v>
      </c>
      <c r="G23" s="10"/>
      <c r="H23" s="10" t="str">
        <f>Sheet1!J14</f>
        <v>B</v>
      </c>
      <c r="I23" s="10"/>
      <c r="J23" s="10" t="str">
        <f>Sheet1!K14</f>
        <v>PASS</v>
      </c>
    </row>
    <row r="24" spans="2:10" x14ac:dyDescent="0.25">
      <c r="B24" s="10" t="str">
        <f>Sheet1!A15</f>
        <v>Kavya</v>
      </c>
      <c r="C24" s="10"/>
      <c r="D24" s="10">
        <f>Sheet1!H15</f>
        <v>565</v>
      </c>
      <c r="E24" s="10"/>
      <c r="F24" s="11">
        <f>Sheet1!I15</f>
        <v>94.166666666666671</v>
      </c>
      <c r="G24" s="10"/>
      <c r="H24" s="10" t="str">
        <f>Sheet1!J15</f>
        <v>A+</v>
      </c>
      <c r="I24" s="10"/>
      <c r="J24" s="10" t="str">
        <f>Sheet1!K15</f>
        <v>PASS</v>
      </c>
    </row>
    <row r="25" spans="2:10" x14ac:dyDescent="0.25">
      <c r="B25" s="10" t="str">
        <f>Sheet1!A16</f>
        <v>Lokesh</v>
      </c>
      <c r="C25" s="10"/>
      <c r="D25" s="10">
        <f>Sheet1!H16</f>
        <v>426</v>
      </c>
      <c r="E25" s="10"/>
      <c r="F25" s="11">
        <f>Sheet1!I16</f>
        <v>71</v>
      </c>
      <c r="G25" s="10"/>
      <c r="H25" s="10" t="str">
        <f>Sheet1!J16</f>
        <v>B</v>
      </c>
      <c r="I25" s="10"/>
      <c r="J25" s="10" t="str">
        <f>Sheet1!K16</f>
        <v>PASS</v>
      </c>
    </row>
    <row r="26" spans="2:10" x14ac:dyDescent="0.25">
      <c r="B26" s="10" t="str">
        <f>Sheet1!A17</f>
        <v>Meena</v>
      </c>
      <c r="C26" s="10"/>
      <c r="D26" s="10">
        <f>Sheet1!H17</f>
        <v>508</v>
      </c>
      <c r="E26" s="10"/>
      <c r="F26" s="11">
        <f>Sheet1!I17</f>
        <v>84.666666666666671</v>
      </c>
      <c r="G26" s="10"/>
      <c r="H26" s="10" t="str">
        <f>Sheet1!J17</f>
        <v>A</v>
      </c>
      <c r="I26" s="10"/>
      <c r="J26" s="10" t="str">
        <f>Sheet1!K17</f>
        <v>PASS</v>
      </c>
    </row>
    <row r="27" spans="2:10" x14ac:dyDescent="0.25">
      <c r="B27" s="10" t="str">
        <f>Sheet1!A18</f>
        <v>Manoj</v>
      </c>
      <c r="C27" s="10"/>
      <c r="D27" s="10">
        <f>Sheet1!H18</f>
        <v>461</v>
      </c>
      <c r="E27" s="10"/>
      <c r="F27" s="11">
        <f>Sheet1!I18</f>
        <v>76.833333333333329</v>
      </c>
      <c r="G27" s="10"/>
      <c r="H27" s="10" t="str">
        <f>Sheet1!J18</f>
        <v>B</v>
      </c>
      <c r="I27" s="10"/>
      <c r="J27" s="10" t="str">
        <f>Sheet1!K18</f>
        <v>PASS</v>
      </c>
    </row>
    <row r="28" spans="2:10" x14ac:dyDescent="0.25">
      <c r="B28" s="10" t="str">
        <f>Sheet1!A19</f>
        <v>Nandhini</v>
      </c>
      <c r="C28" s="10"/>
      <c r="D28" s="10">
        <f>Sheet1!H19</f>
        <v>545</v>
      </c>
      <c r="E28" s="10"/>
      <c r="F28" s="11">
        <f>Sheet1!I19</f>
        <v>90.833333333333329</v>
      </c>
      <c r="G28" s="10"/>
      <c r="H28" s="10" t="str">
        <f>Sheet1!J19</f>
        <v>A+</v>
      </c>
      <c r="I28" s="10"/>
      <c r="J28" s="10" t="str">
        <f>Sheet1!K19</f>
        <v>PASS</v>
      </c>
    </row>
    <row r="29" spans="2:10" x14ac:dyDescent="0.25">
      <c r="B29" s="10" t="str">
        <f>Sheet1!A20</f>
        <v>Naveen</v>
      </c>
      <c r="C29" s="10"/>
      <c r="D29" s="10">
        <f>Sheet1!H20</f>
        <v>423</v>
      </c>
      <c r="E29" s="10"/>
      <c r="F29" s="11">
        <f>Sheet1!I20</f>
        <v>70.5</v>
      </c>
      <c r="G29" s="10"/>
      <c r="H29" s="10" t="str">
        <f>Sheet1!J20</f>
        <v>B</v>
      </c>
      <c r="I29" s="10"/>
      <c r="J29" s="10" t="str">
        <f>Sheet1!K20</f>
        <v>PASS</v>
      </c>
    </row>
    <row r="30" spans="2:10" x14ac:dyDescent="0.25">
      <c r="B30" s="10" t="str">
        <f>Sheet1!A21</f>
        <v>Priya</v>
      </c>
      <c r="C30" s="10"/>
      <c r="D30" s="10">
        <f>Sheet1!H21</f>
        <v>545</v>
      </c>
      <c r="E30" s="10"/>
      <c r="F30" s="11">
        <f>Sheet1!I21</f>
        <v>90.833333333333329</v>
      </c>
      <c r="G30" s="10"/>
      <c r="H30" s="10" t="str">
        <f>Sheet1!J21</f>
        <v>A+</v>
      </c>
      <c r="I30" s="10"/>
      <c r="J30" s="10" t="str">
        <f>Sheet1!K21</f>
        <v>PASS</v>
      </c>
    </row>
    <row r="31" spans="2:10" x14ac:dyDescent="0.25">
      <c r="B31" s="10" t="str">
        <f>Sheet1!A22</f>
        <v>Prakash</v>
      </c>
      <c r="C31" s="10"/>
      <c r="D31" s="10">
        <f>Sheet1!H22</f>
        <v>443</v>
      </c>
      <c r="E31" s="10"/>
      <c r="F31" s="11">
        <f>Sheet1!I22</f>
        <v>73.833333333333329</v>
      </c>
      <c r="G31" s="10"/>
      <c r="H31" s="10" t="str">
        <f>Sheet1!J22</f>
        <v>B</v>
      </c>
      <c r="I31" s="10"/>
      <c r="J31" s="10" t="str">
        <f>Sheet1!K22</f>
        <v>PASS</v>
      </c>
    </row>
    <row r="32" spans="2:10" x14ac:dyDescent="0.25">
      <c r="B32" s="10" t="str">
        <f>Sheet1!A23</f>
        <v>Rahul</v>
      </c>
      <c r="C32" s="10"/>
      <c r="D32" s="10">
        <f>Sheet1!H23</f>
        <v>495</v>
      </c>
      <c r="E32" s="10"/>
      <c r="F32" s="11">
        <f>Sheet1!I23</f>
        <v>82.5</v>
      </c>
      <c r="G32" s="10"/>
      <c r="H32" s="10" t="str">
        <f>Sheet1!J23</f>
        <v>A</v>
      </c>
      <c r="I32" s="10"/>
      <c r="J32" s="10" t="str">
        <f>Sheet1!K23</f>
        <v>PASS</v>
      </c>
    </row>
    <row r="33" spans="2:10" x14ac:dyDescent="0.25">
      <c r="B33" s="10" t="str">
        <f>Sheet1!A24</f>
        <v>Riya</v>
      </c>
      <c r="C33" s="10"/>
      <c r="D33" s="10">
        <f>Sheet1!H24</f>
        <v>546</v>
      </c>
      <c r="E33" s="10"/>
      <c r="F33" s="11">
        <f>Sheet1!I24</f>
        <v>91</v>
      </c>
      <c r="G33" s="10"/>
      <c r="H33" s="10" t="str">
        <f>Sheet1!J24</f>
        <v>A+</v>
      </c>
      <c r="I33" s="10"/>
      <c r="J33" s="10" t="str">
        <f>Sheet1!K24</f>
        <v>PASS</v>
      </c>
    </row>
    <row r="34" spans="2:10" x14ac:dyDescent="0.25">
      <c r="B34" s="10" t="str">
        <f>Sheet1!A25</f>
        <v>Rohit</v>
      </c>
      <c r="C34" s="10"/>
      <c r="D34" s="10">
        <f>Sheet1!H25</f>
        <v>421</v>
      </c>
      <c r="E34" s="10"/>
      <c r="F34" s="11">
        <f>Sheet1!I25</f>
        <v>70.166666666666671</v>
      </c>
      <c r="G34" s="10"/>
      <c r="H34" s="10" t="str">
        <f>Sheet1!J25</f>
        <v>B</v>
      </c>
      <c r="I34" s="10"/>
      <c r="J34" s="10" t="str">
        <f>Sheet1!K25</f>
        <v>PASS</v>
      </c>
    </row>
    <row r="35" spans="2:10" x14ac:dyDescent="0.25">
      <c r="B35" s="10" t="str">
        <f>Sheet1!A26</f>
        <v>Sahana</v>
      </c>
      <c r="C35" s="10"/>
      <c r="D35" s="10">
        <f>Sheet1!H26</f>
        <v>544</v>
      </c>
      <c r="E35" s="10"/>
      <c r="F35" s="11">
        <f>Sheet1!I26</f>
        <v>90.666666666666671</v>
      </c>
      <c r="G35" s="10"/>
      <c r="H35" s="10" t="str">
        <f>Sheet1!J26</f>
        <v>A+</v>
      </c>
      <c r="I35" s="10"/>
      <c r="J35" s="10" t="str">
        <f>Sheet1!K26</f>
        <v>PASS</v>
      </c>
    </row>
    <row r="36" spans="2:10" x14ac:dyDescent="0.25">
      <c r="B36" s="10" t="str">
        <f>Sheet1!A27</f>
        <v>Sanjay</v>
      </c>
      <c r="C36" s="10"/>
      <c r="D36" s="10">
        <f>Sheet1!H27</f>
        <v>469</v>
      </c>
      <c r="E36" s="10"/>
      <c r="F36" s="11">
        <f>Sheet1!I27</f>
        <v>78.166666666666671</v>
      </c>
      <c r="G36" s="10"/>
      <c r="H36" s="10" t="str">
        <f>Sheet1!J27</f>
        <v>B</v>
      </c>
      <c r="I36" s="10"/>
      <c r="J36" s="10" t="str">
        <f>Sheet1!K27</f>
        <v>PASS</v>
      </c>
    </row>
    <row r="37" spans="2:10" x14ac:dyDescent="0.25">
      <c r="B37" s="10" t="str">
        <f>Sheet1!A28</f>
        <v>Shruthi</v>
      </c>
      <c r="C37" s="10"/>
      <c r="D37" s="10">
        <f>Sheet1!H28</f>
        <v>549</v>
      </c>
      <c r="E37" s="10"/>
      <c r="F37" s="11">
        <f>Sheet1!I28</f>
        <v>91.5</v>
      </c>
      <c r="G37" s="10"/>
      <c r="H37" s="10" t="str">
        <f>Sheet1!J28</f>
        <v>A+</v>
      </c>
      <c r="I37" s="10"/>
      <c r="J37" s="10" t="str">
        <f>Sheet1!K28</f>
        <v>PASS</v>
      </c>
    </row>
    <row r="38" spans="2:10" x14ac:dyDescent="0.25">
      <c r="B38" s="10" t="str">
        <f>Sheet1!A29</f>
        <v>Siva</v>
      </c>
      <c r="C38" s="10"/>
      <c r="D38" s="10">
        <f>Sheet1!H29</f>
        <v>415</v>
      </c>
      <c r="E38" s="10"/>
      <c r="F38" s="11">
        <f>Sheet1!I29</f>
        <v>69.166666666666671</v>
      </c>
      <c r="G38" s="10"/>
      <c r="H38" s="10" t="str">
        <f>Sheet1!J29</f>
        <v>C</v>
      </c>
      <c r="I38" s="10"/>
      <c r="J38" s="10" t="str">
        <f>Sheet1!K29</f>
        <v>PASS</v>
      </c>
    </row>
    <row r="39" spans="2:10" x14ac:dyDescent="0.25">
      <c r="B39" s="10" t="str">
        <f>Sheet1!A30</f>
        <v>Swathi</v>
      </c>
      <c r="C39" s="10"/>
      <c r="D39" s="10">
        <f>Sheet1!H30</f>
        <v>513</v>
      </c>
      <c r="E39" s="10"/>
      <c r="F39" s="11">
        <f>Sheet1!I30</f>
        <v>85.5</v>
      </c>
      <c r="G39" s="10"/>
      <c r="H39" s="10" t="str">
        <f>Sheet1!J30</f>
        <v>A</v>
      </c>
      <c r="I39" s="10"/>
      <c r="J39" s="10" t="str">
        <f>Sheet1!K30</f>
        <v>PASS</v>
      </c>
    </row>
    <row r="40" spans="2:10" x14ac:dyDescent="0.25">
      <c r="B40" s="10" t="str">
        <f>Sheet1!A31</f>
        <v>Tarun</v>
      </c>
      <c r="C40" s="10"/>
      <c r="D40" s="10">
        <f>Sheet1!H31</f>
        <v>460</v>
      </c>
      <c r="E40" s="10"/>
      <c r="F40" s="11">
        <f>Sheet1!I31</f>
        <v>76.666666666666671</v>
      </c>
      <c r="G40" s="10"/>
      <c r="H40" s="10" t="str">
        <f>Sheet1!J31</f>
        <v>B</v>
      </c>
      <c r="I40" s="10"/>
      <c r="J40" s="10" t="str">
        <f>Sheet1!K31</f>
        <v>PASS</v>
      </c>
    </row>
    <row r="41" spans="2:10" x14ac:dyDescent="0.25">
      <c r="B41" s="10" t="str">
        <f>Sheet1!A32</f>
        <v>Vaishnavi</v>
      </c>
      <c r="C41" s="10"/>
      <c r="D41" s="10">
        <f>Sheet1!H32</f>
        <v>572</v>
      </c>
      <c r="E41" s="10"/>
      <c r="F41" s="11">
        <f>Sheet1!I32</f>
        <v>95.333333333333329</v>
      </c>
      <c r="G41" s="10"/>
      <c r="H41" s="10" t="str">
        <f>Sheet1!J32</f>
        <v>A+</v>
      </c>
      <c r="I41" s="10"/>
      <c r="J41" s="10" t="str">
        <f>Sheet1!K32</f>
        <v>PASS</v>
      </c>
    </row>
    <row r="42" spans="2:10" x14ac:dyDescent="0.25">
      <c r="B42" s="10" t="str">
        <f>Sheet1!A33</f>
        <v>Vignesh</v>
      </c>
      <c r="C42" s="10"/>
      <c r="D42" s="10">
        <f>Sheet1!H33</f>
        <v>474</v>
      </c>
      <c r="E42" s="10"/>
      <c r="F42" s="11">
        <f>Sheet1!I33</f>
        <v>79</v>
      </c>
      <c r="G42" s="10"/>
      <c r="H42" s="10" t="str">
        <f>Sheet1!J33</f>
        <v>B</v>
      </c>
      <c r="I42" s="10"/>
      <c r="J42" s="10" t="str">
        <f>Sheet1!K33</f>
        <v>PASS</v>
      </c>
    </row>
    <row r="43" spans="2:10" x14ac:dyDescent="0.25">
      <c r="B43" s="10" t="str">
        <f>Sheet1!A34</f>
        <v>Vishal</v>
      </c>
      <c r="C43" s="10"/>
      <c r="D43" s="10">
        <f>Sheet1!H34</f>
        <v>421</v>
      </c>
      <c r="E43" s="10"/>
      <c r="F43" s="11">
        <f>Sheet1!I34</f>
        <v>70.166666666666671</v>
      </c>
      <c r="G43" s="10"/>
      <c r="H43" s="10" t="str">
        <f>Sheet1!J34</f>
        <v>B</v>
      </c>
      <c r="I43" s="10"/>
      <c r="J43" s="10" t="str">
        <f>Sheet1!K34</f>
        <v>PASS</v>
      </c>
    </row>
    <row r="44" spans="2:10" x14ac:dyDescent="0.25">
      <c r="B44" s="10" t="str">
        <f>Sheet1!A35</f>
        <v>Yamini</v>
      </c>
      <c r="C44" s="10"/>
      <c r="D44" s="10">
        <f>Sheet1!H35</f>
        <v>536</v>
      </c>
      <c r="E44" s="10"/>
      <c r="F44" s="11">
        <f>Sheet1!I35</f>
        <v>89.333333333333329</v>
      </c>
      <c r="G44" s="10"/>
      <c r="H44" s="10" t="str">
        <f>Sheet1!J35</f>
        <v>A</v>
      </c>
      <c r="I44" s="10"/>
      <c r="J44" s="10" t="str">
        <f>Sheet1!K35</f>
        <v>PASS</v>
      </c>
    </row>
    <row r="45" spans="2:10" x14ac:dyDescent="0.25">
      <c r="B45" s="10" t="str">
        <f>Sheet1!A36</f>
        <v>Abinaya</v>
      </c>
      <c r="C45" s="10"/>
      <c r="D45" s="10">
        <f>Sheet1!H36</f>
        <v>505</v>
      </c>
      <c r="E45" s="10"/>
      <c r="F45" s="11">
        <f>Sheet1!I36</f>
        <v>84.166666666666671</v>
      </c>
      <c r="G45" s="10"/>
      <c r="H45" s="10" t="str">
        <f>Sheet1!J36</f>
        <v>A</v>
      </c>
      <c r="I45" s="10"/>
      <c r="J45" s="10" t="str">
        <f>Sheet1!K36</f>
        <v>PASS</v>
      </c>
    </row>
    <row r="46" spans="2:10" x14ac:dyDescent="0.25">
      <c r="B46" s="10" t="str">
        <f>Sheet1!A37</f>
        <v>Aditya</v>
      </c>
      <c r="C46" s="10"/>
      <c r="D46" s="10">
        <f>Sheet1!H37</f>
        <v>471</v>
      </c>
      <c r="E46" s="10"/>
      <c r="F46" s="11">
        <f>Sheet1!I37</f>
        <v>78.5</v>
      </c>
      <c r="G46" s="10"/>
      <c r="H46" s="10" t="str">
        <f>Sheet1!J37</f>
        <v>B</v>
      </c>
      <c r="I46" s="10"/>
      <c r="J46" s="10" t="str">
        <f>Sheet1!K37</f>
        <v>PASS</v>
      </c>
    </row>
    <row r="47" spans="2:10" x14ac:dyDescent="0.25">
      <c r="B47" s="10" t="str">
        <f>Sheet1!A38</f>
        <v>Akash</v>
      </c>
      <c r="C47" s="10"/>
      <c r="D47" s="10">
        <f>Sheet1!H38</f>
        <v>517</v>
      </c>
      <c r="E47" s="10"/>
      <c r="F47" s="11">
        <f>Sheet1!I38</f>
        <v>86.166666666666671</v>
      </c>
      <c r="G47" s="10"/>
      <c r="H47" s="10" t="str">
        <f>Sheet1!J38</f>
        <v>A</v>
      </c>
      <c r="I47" s="10"/>
      <c r="J47" s="10" t="str">
        <f>Sheet1!K38</f>
        <v>PASS</v>
      </c>
    </row>
    <row r="48" spans="2:10" x14ac:dyDescent="0.25">
      <c r="B48" s="10" t="str">
        <f>Sheet1!A39</f>
        <v>Amritha</v>
      </c>
      <c r="C48" s="10"/>
      <c r="D48" s="10">
        <f>Sheet1!H39</f>
        <v>549</v>
      </c>
      <c r="E48" s="10"/>
      <c r="F48" s="11">
        <f>Sheet1!I39</f>
        <v>91.5</v>
      </c>
      <c r="G48" s="10"/>
      <c r="H48" s="10" t="str">
        <f>Sheet1!J39</f>
        <v>A+</v>
      </c>
      <c r="I48" s="10"/>
      <c r="J48" s="10" t="str">
        <f>Sheet1!K39</f>
        <v>PASS</v>
      </c>
    </row>
    <row r="49" spans="2:10" x14ac:dyDescent="0.25">
      <c r="B49" s="10" t="str">
        <f>Sheet1!A40</f>
        <v>Ashwin</v>
      </c>
      <c r="C49" s="10"/>
      <c r="D49" s="10">
        <f>Sheet1!H40</f>
        <v>434</v>
      </c>
      <c r="E49" s="10"/>
      <c r="F49" s="11">
        <f>Sheet1!I40</f>
        <v>72.333333333333329</v>
      </c>
      <c r="G49" s="10"/>
      <c r="H49" s="10" t="str">
        <f>Sheet1!J40</f>
        <v>B</v>
      </c>
      <c r="I49" s="10"/>
      <c r="J49" s="10" t="str">
        <f>Sheet1!K40</f>
        <v>PASS</v>
      </c>
    </row>
    <row r="50" spans="2:10" x14ac:dyDescent="0.25">
      <c r="B50" s="10" t="str">
        <f>Sheet1!A41</f>
        <v>Bhavya</v>
      </c>
      <c r="C50" s="10"/>
      <c r="D50" s="10">
        <f>Sheet1!H41</f>
        <v>552</v>
      </c>
      <c r="E50" s="10"/>
      <c r="F50" s="11">
        <f>Sheet1!I41</f>
        <v>92</v>
      </c>
      <c r="G50" s="10"/>
      <c r="H50" s="10" t="str">
        <f>Sheet1!J41</f>
        <v>A+</v>
      </c>
      <c r="I50" s="10"/>
      <c r="J50" s="10" t="str">
        <f>Sheet1!K41</f>
        <v>PASS</v>
      </c>
    </row>
    <row r="51" spans="2:10" x14ac:dyDescent="0.25">
      <c r="B51" s="10" t="str">
        <f>Sheet1!A42</f>
        <v>Charan</v>
      </c>
      <c r="C51" s="10"/>
      <c r="D51" s="10">
        <f>Sheet1!H42</f>
        <v>452</v>
      </c>
      <c r="E51" s="10"/>
      <c r="F51" s="11">
        <f>Sheet1!I42</f>
        <v>75.333333333333329</v>
      </c>
      <c r="G51" s="10"/>
      <c r="H51" s="10" t="str">
        <f>Sheet1!J42</f>
        <v>B</v>
      </c>
      <c r="I51" s="10"/>
      <c r="J51" s="10" t="str">
        <f>Sheet1!K42</f>
        <v>PASS</v>
      </c>
    </row>
    <row r="52" spans="2:10" x14ac:dyDescent="0.25">
      <c r="B52" s="10" t="str">
        <f>Sheet1!A43</f>
        <v>Dharani</v>
      </c>
      <c r="C52" s="10"/>
      <c r="D52" s="10">
        <f>Sheet1!H43</f>
        <v>527</v>
      </c>
      <c r="E52" s="10"/>
      <c r="F52" s="11">
        <f>Sheet1!I43</f>
        <v>87.833333333333329</v>
      </c>
      <c r="G52" s="10"/>
      <c r="H52" s="10" t="str">
        <f>Sheet1!J43</f>
        <v>A</v>
      </c>
      <c r="I52" s="10"/>
      <c r="J52" s="10" t="str">
        <f>Sheet1!K43</f>
        <v>PASS</v>
      </c>
    </row>
    <row r="53" spans="2:10" x14ac:dyDescent="0.25">
      <c r="B53" s="10" t="str">
        <f>Sheet1!A44</f>
        <v>Jeeva</v>
      </c>
      <c r="C53" s="10"/>
      <c r="D53" s="10">
        <f>Sheet1!H44</f>
        <v>430</v>
      </c>
      <c r="E53" s="10"/>
      <c r="F53" s="11">
        <f>Sheet1!I44</f>
        <v>71.666666666666671</v>
      </c>
      <c r="G53" s="10"/>
      <c r="H53" s="10" t="str">
        <f>Sheet1!J44</f>
        <v>B</v>
      </c>
      <c r="I53" s="10"/>
      <c r="J53" s="10" t="str">
        <f>Sheet1!K44</f>
        <v>PASS</v>
      </c>
    </row>
    <row r="54" spans="2:10" x14ac:dyDescent="0.25">
      <c r="B54" s="10" t="str">
        <f>Sheet1!A45</f>
        <v>Keerthana</v>
      </c>
      <c r="C54" s="10"/>
      <c r="D54" s="10">
        <f>Sheet1!H45</f>
        <v>558</v>
      </c>
      <c r="E54" s="10"/>
      <c r="F54" s="11">
        <f>Sheet1!I45</f>
        <v>93</v>
      </c>
      <c r="G54" s="10"/>
      <c r="H54" s="10" t="str">
        <f>Sheet1!J45</f>
        <v>A+</v>
      </c>
      <c r="I54" s="10"/>
      <c r="J54" s="10" t="str">
        <f>Sheet1!K45</f>
        <v>PASS</v>
      </c>
    </row>
    <row r="55" spans="2:10" x14ac:dyDescent="0.25">
      <c r="B55" s="10" t="str">
        <f>Sheet1!A46</f>
        <v>Monisha</v>
      </c>
      <c r="C55" s="10"/>
      <c r="D55" s="10">
        <f>Sheet1!H46</f>
        <v>514</v>
      </c>
      <c r="E55" s="10"/>
      <c r="F55" s="11">
        <f>Sheet1!I46</f>
        <v>85.666666666666671</v>
      </c>
      <c r="G55" s="10"/>
      <c r="H55" s="10" t="str">
        <f>Sheet1!J46</f>
        <v>A</v>
      </c>
      <c r="I55" s="10"/>
      <c r="J55" s="10" t="str">
        <f>Sheet1!K46</f>
        <v>PASS</v>
      </c>
    </row>
    <row r="56" spans="2:10" x14ac:dyDescent="0.25">
      <c r="B56" s="10" t="str">
        <f>Sheet1!A47</f>
        <v>Nithin</v>
      </c>
      <c r="C56" s="10"/>
      <c r="D56" s="10">
        <f>Sheet1!H47</f>
        <v>482</v>
      </c>
      <c r="E56" s="10"/>
      <c r="F56" s="11">
        <f>Sheet1!I47</f>
        <v>80.333333333333329</v>
      </c>
      <c r="G56" s="10"/>
      <c r="H56" s="10" t="str">
        <f>Sheet1!J47</f>
        <v>A</v>
      </c>
      <c r="I56" s="10"/>
      <c r="J56" s="10" t="str">
        <f>Sheet1!K47</f>
        <v>PASS</v>
      </c>
    </row>
    <row r="57" spans="2:10" x14ac:dyDescent="0.25">
      <c r="B57" s="10" t="str">
        <f>Sheet1!A48</f>
        <v>Pooja</v>
      </c>
      <c r="C57" s="10"/>
      <c r="D57" s="10">
        <f>Sheet1!H48</f>
        <v>557</v>
      </c>
      <c r="E57" s="10"/>
      <c r="F57" s="11">
        <f>Sheet1!I48</f>
        <v>92.833333333333329</v>
      </c>
      <c r="G57" s="10"/>
      <c r="H57" s="10" t="str">
        <f>Sheet1!J48</f>
        <v>A+</v>
      </c>
      <c r="I57" s="10"/>
      <c r="J57" s="10" t="str">
        <f>Sheet1!K48</f>
        <v>PASS</v>
      </c>
    </row>
    <row r="58" spans="2:10" x14ac:dyDescent="0.25">
      <c r="B58" s="10" t="str">
        <f>Sheet1!A49</f>
        <v>Ramesh</v>
      </c>
      <c r="C58" s="10"/>
      <c r="D58" s="10">
        <f>Sheet1!H49</f>
        <v>426</v>
      </c>
      <c r="E58" s="10"/>
      <c r="F58" s="11">
        <f>Sheet1!I49</f>
        <v>71</v>
      </c>
      <c r="G58" s="10"/>
      <c r="H58" s="10" t="str">
        <f>Sheet1!J49</f>
        <v>B</v>
      </c>
      <c r="I58" s="10"/>
      <c r="J58" s="10" t="str">
        <f>Sheet1!K49</f>
        <v>PASS</v>
      </c>
    </row>
    <row r="59" spans="2:10" x14ac:dyDescent="0.25">
      <c r="B59" s="10" t="str">
        <f>Sheet1!A50</f>
        <v>Sneha</v>
      </c>
      <c r="C59" s="10"/>
      <c r="D59" s="10">
        <f>Sheet1!H50</f>
        <v>545</v>
      </c>
      <c r="E59" s="10"/>
      <c r="F59" s="11">
        <f>Sheet1!I50</f>
        <v>90.833333333333329</v>
      </c>
      <c r="G59" s="10"/>
      <c r="H59" s="10" t="str">
        <f>Sheet1!J50</f>
        <v>A+</v>
      </c>
      <c r="I59" s="10"/>
      <c r="J59" s="10" t="str">
        <f>Sheet1!K50</f>
        <v>PASS</v>
      </c>
    </row>
    <row r="60" spans="2:10" x14ac:dyDescent="0.25">
      <c r="B60" s="10" t="str">
        <f>Sheet1!A51</f>
        <v>Surya</v>
      </c>
      <c r="C60" s="10"/>
      <c r="D60" s="10">
        <f>Sheet1!H51</f>
        <v>485</v>
      </c>
      <c r="E60" s="10"/>
      <c r="F60" s="11">
        <f>Sheet1!I51</f>
        <v>80.833333333333329</v>
      </c>
      <c r="G60" s="10"/>
      <c r="H60" s="10" t="str">
        <f>Sheet1!J51</f>
        <v>A</v>
      </c>
      <c r="I60" s="10"/>
      <c r="J60" s="10" t="str">
        <f>Sheet1!K51</f>
        <v>PASS</v>
      </c>
    </row>
    <row r="61" spans="2:10" x14ac:dyDescent="0.25">
      <c r="B61" s="10" t="str">
        <f>Sheet1!A52</f>
        <v>Tharun</v>
      </c>
      <c r="C61" s="10"/>
      <c r="D61" s="10">
        <f>Sheet1!H52</f>
        <v>464</v>
      </c>
      <c r="E61" s="10"/>
      <c r="F61" s="11">
        <f>Sheet1!I52</f>
        <v>77.333333333333329</v>
      </c>
      <c r="G61" s="10"/>
      <c r="H61" s="10" t="str">
        <f>Sheet1!J52</f>
        <v>B</v>
      </c>
      <c r="I61" s="10"/>
      <c r="J61" s="10" t="str">
        <f>Sheet1!K52</f>
        <v>PASS</v>
      </c>
    </row>
  </sheetData>
  <mergeCells count="2">
    <mergeCell ref="B2:H2"/>
    <mergeCell ref="B8:E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2026-09-25T16:41:02Z</cp:lastPrinted>
  <dcterms:created xsi:type="dcterms:W3CDTF">2026-09-25T14:22:29Z</dcterms:created>
  <dcterms:modified xsi:type="dcterms:W3CDTF">2026-10-03T10:17:48Z</dcterms:modified>
</cp:coreProperties>
</file>